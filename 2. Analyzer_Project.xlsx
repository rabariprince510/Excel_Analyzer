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What-If Analysis" sheetId="4" state="visible" r:id="rId4"/>
    <sheet xmlns:r="http://schemas.openxmlformats.org/officeDocument/2006/relationships" name="Stats &amp; Regression" sheetId="5" state="visible" r:id="rId5"/>
    <sheet xmlns:r="http://schemas.openxmlformats.org/officeDocument/2006/relationships" name="Monthly Growth" sheetId="6" state="visible" r:id="rId6"/>
    <sheet xmlns:r="http://schemas.openxmlformats.org/officeDocument/2006/relationships" name="High Value Customers" sheetId="7" state="visible" r:id="rId7"/>
    <sheet xmlns:r="http://schemas.openxmlformats.org/officeDocument/2006/relationships" name="Pivot 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0.0%"/>
    <numFmt numFmtId="167" formatCode="+0.0%;-0.0%;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165" fontId="0" fillId="0" borderId="1" pivotButton="0" quotePrefix="0" xfId="0"/>
    <xf numFmtId="166" fontId="0" fillId="0" borderId="1" pivotButton="0" quotePrefix="0" xfId="0"/>
    <xf numFmtId="0" fontId="7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0" fillId="5" borderId="1" pivotButton="0" quotePrefix="0" xfId="0"/>
    <xf numFmtId="165" fontId="0" fillId="0" borderId="0" pivotButton="0" quotePrefix="0" xfId="0"/>
    <xf numFmtId="4" fontId="0" fillId="0" borderId="1" pivotButton="0" quotePrefix="0" xfId="0"/>
    <xf numFmtId="0" fontId="6" fillId="4" borderId="0" applyAlignment="1" pivotButton="0" quotePrefix="0" xfId="0">
      <alignment horizontal="center" vertical="center"/>
    </xf>
    <xf numFmtId="167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Customers by Total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Customers'!C3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(2024 - 2025)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Growth'!B3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Growth'!$A$4:$A$16</f>
            </numRef>
          </cat>
          <val>
            <numRef>
              <f>'Monthly Growth'!$B$4:$B$16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Product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 Table'!$B$3:$F$3</f>
            </numRef>
          </cat>
          <val>
            <numRef>
              <f>'Pivot Table'!$B$9:$F$9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85" customWidth="1" min="3" max="3"/>
    <col width="12" customWidth="1" min="4" max="4"/>
    <col width="15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EXECUTIVE DATA ANALYSIS &amp; KPI DASHBOARD</t>
        </is>
      </c>
    </row>
    <row r="2"/>
    <row r="3">
      <c r="A3" s="2" t="inlineStr">
        <is>
          <t>Last Refreshed Timestamp:</t>
        </is>
      </c>
      <c r="B3" s="3">
        <f>NOW()</f>
        <v/>
      </c>
    </row>
    <row r="4"/>
    <row r="5">
      <c r="B5" s="4" t="inlineStr">
        <is>
          <t>Total Revenue
=SUM(Dataset!E2:E201)</t>
        </is>
      </c>
      <c r="E5" s="4" t="inlineStr">
        <is>
          <t>Total Profit
=SUM(Dataset!I2:I201)</t>
        </is>
      </c>
      <c r="H5" s="4" t="inlineStr">
        <is>
          <t>Total Quantity Sold
=SUM(Dataset!F2:F201)</t>
        </is>
      </c>
    </row>
    <row r="6"/>
    <row r="7"/>
    <row r="8">
      <c r="A8" s="5" t="inlineStr">
        <is>
          <t>Project Tasks Execution Summary</t>
        </is>
      </c>
    </row>
    <row r="9"/>
    <row r="10">
      <c r="A10" s="6" t="inlineStr">
        <is>
          <t>Task #</t>
        </is>
      </c>
      <c r="B10" s="6" t="inlineStr">
        <is>
          <t>Task Name</t>
        </is>
      </c>
      <c r="C10" s="6" t="inlineStr">
        <is>
          <t>Implementation Status &amp; Details</t>
        </is>
      </c>
    </row>
    <row r="11">
      <c r="A11" s="7" t="inlineStr">
        <is>
          <t>Task 1</t>
        </is>
      </c>
      <c r="B11" s="8" t="inlineStr">
        <is>
          <t>Top 10 Customers</t>
        </is>
      </c>
      <c r="C11" s="9" t="inlineStr">
        <is>
          <t>Highlighted using Conditional Formatting in 'Top Customers' sheet.</t>
        </is>
      </c>
    </row>
    <row r="12">
      <c r="A12" s="7" t="inlineStr">
        <is>
          <t>Task 2</t>
        </is>
      </c>
      <c r="B12" s="8" t="inlineStr">
        <is>
          <t>What-If Analysis</t>
        </is>
      </c>
      <c r="C12" s="9" t="inlineStr">
        <is>
          <t>Modeled scenario table on Discount sensitivity in 'What-If Analysis' sheet.</t>
        </is>
      </c>
    </row>
    <row r="13">
      <c r="A13" s="7" t="inlineStr">
        <is>
          <t>Task 3</t>
        </is>
      </c>
      <c r="B13" s="8" t="inlineStr">
        <is>
          <t>Linear Regression</t>
        </is>
      </c>
      <c r="C13" s="9" t="inlineStr">
        <is>
          <t>Calculated Regression parameters (Profit vs Sales) in 'Regression Analysis' sheet.</t>
        </is>
      </c>
    </row>
    <row r="14">
      <c r="A14" s="7" t="inlineStr">
        <is>
          <t>Task 4</t>
        </is>
      </c>
      <c r="B14" s="8" t="inlineStr">
        <is>
          <t>Descriptive Statistics</t>
        </is>
      </c>
      <c r="C14" s="9" t="inlineStr">
        <is>
          <t>Full metrics summary computed in 'Descriptive Stats' sheet.</t>
        </is>
      </c>
    </row>
    <row r="15">
      <c r="A15" s="7" t="inlineStr">
        <is>
          <t>Task 5</t>
        </is>
      </c>
      <c r="B15" s="8" t="inlineStr">
        <is>
          <t>Monthly Sales Growth</t>
        </is>
      </c>
      <c r="C15" s="9" t="inlineStr">
        <is>
          <t>Calculated MoM growth with ↑ / ↓ indicator arrows in 'Monthly Growth' sheet.</t>
        </is>
      </c>
    </row>
    <row r="16">
      <c r="A16" s="7" t="inlineStr">
        <is>
          <t>Task 6</t>
        </is>
      </c>
      <c r="B16" s="8" t="inlineStr">
        <is>
          <t>Timestamp</t>
        </is>
      </c>
      <c r="C16" s="9" t="inlineStr">
        <is>
          <t>Implemented dynamic `=NOW()` formula on Dashboard.</t>
        </is>
      </c>
    </row>
    <row r="17">
      <c r="A17" s="7" t="inlineStr">
        <is>
          <t>Task 7</t>
        </is>
      </c>
      <c r="B17" s="8" t="inlineStr">
        <is>
          <t>High-Value Customers</t>
        </is>
      </c>
      <c r="C17" s="9" t="inlineStr">
        <is>
          <t>Extracted using INDEX/MATCH and Grouping logic in 'High Value Customers' sheet.</t>
        </is>
      </c>
    </row>
    <row r="18">
      <c r="A18" s="7" t="inlineStr">
        <is>
          <t>Task 8</t>
        </is>
      </c>
      <c r="B18" s="8" t="inlineStr">
        <is>
          <t>Pivot Table</t>
        </is>
      </c>
      <c r="C18" s="9" t="inlineStr">
        <is>
          <t>Sales aggregated by Region and Category in 'Pivot Table' sheet.</t>
        </is>
      </c>
    </row>
    <row r="19">
      <c r="A19" s="7" t="inlineStr">
        <is>
          <t>Task 9</t>
        </is>
      </c>
      <c r="B19" s="8" t="inlineStr">
        <is>
          <t>Bar, Line &amp; Pie Charts</t>
        </is>
      </c>
      <c r="C19" s="9" t="inlineStr">
        <is>
          <t>Embedded visual charts across relevant analytical sheets.</t>
        </is>
      </c>
    </row>
    <row r="20">
      <c r="A20" s="7" t="inlineStr">
        <is>
          <t>Task 10</t>
        </is>
      </c>
      <c r="B20" s="8" t="inlineStr">
        <is>
          <t>Dashboard &amp; Storytelling</t>
        </is>
      </c>
      <c r="C20" s="9" t="inlineStr">
        <is>
          <t>Unified insights consolidated on this dashboard sheet.</t>
        </is>
      </c>
    </row>
  </sheetData>
  <mergeCells count="4">
    <mergeCell ref="H5:I6"/>
    <mergeCell ref="E5:F6"/>
    <mergeCell ref="A1:J2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10" t="inlineStr">
        <is>
          <t>Customer_ID</t>
        </is>
      </c>
      <c r="B1" s="10" t="inlineStr">
        <is>
          <t>Customer_Name</t>
        </is>
      </c>
      <c r="C1" s="10" t="inlineStr">
        <is>
          <t>Region</t>
        </is>
      </c>
      <c r="D1" s="10" t="inlineStr">
        <is>
          <t>Product_Category</t>
        </is>
      </c>
      <c r="E1" s="10" t="inlineStr">
        <is>
          <t>Sales</t>
        </is>
      </c>
      <c r="F1" s="10" t="inlineStr">
        <is>
          <t>Quantity</t>
        </is>
      </c>
      <c r="G1" s="10" t="inlineStr">
        <is>
          <t>Discount</t>
        </is>
      </c>
      <c r="H1" s="10" t="inlineStr">
        <is>
          <t>Order_Date</t>
        </is>
      </c>
      <c r="I1" s="10" t="inlineStr">
        <is>
          <t>Profit</t>
        </is>
      </c>
    </row>
    <row r="2">
      <c r="A2" s="9" t="inlineStr">
        <is>
          <t>CUST019</t>
        </is>
      </c>
      <c r="B2" s="9" t="inlineStr">
        <is>
          <t>James Davis</t>
        </is>
      </c>
      <c r="C2" s="9" t="inlineStr">
        <is>
          <t>West</t>
        </is>
      </c>
      <c r="D2" s="9" t="inlineStr">
        <is>
          <t>Books</t>
        </is>
      </c>
      <c r="E2" s="11" t="n">
        <v>1036.09</v>
      </c>
      <c r="F2" s="9" t="n">
        <v>4</v>
      </c>
      <c r="G2" s="12" t="n">
        <v>0.2</v>
      </c>
      <c r="H2" s="9" t="inlineStr">
        <is>
          <t>2024-04-10</t>
        </is>
      </c>
      <c r="I2" s="11" t="n">
        <v>331.55</v>
      </c>
    </row>
    <row r="3">
      <c r="A3" s="9" t="inlineStr">
        <is>
          <t>CUST012</t>
        </is>
      </c>
      <c r="B3" s="9" t="inlineStr">
        <is>
          <t>Robert Anderson</t>
        </is>
      </c>
      <c r="C3" s="9" t="inlineStr">
        <is>
          <t>West</t>
        </is>
      </c>
      <c r="D3" s="9" t="inlineStr">
        <is>
          <t>Clothing</t>
        </is>
      </c>
      <c r="E3" s="11" t="n">
        <v>1101.28</v>
      </c>
      <c r="F3" s="9" t="n">
        <v>3</v>
      </c>
      <c r="G3" s="12" t="n">
        <v>0.2</v>
      </c>
      <c r="H3" s="9" t="inlineStr">
        <is>
          <t>2024-04-11</t>
        </is>
      </c>
      <c r="I3" s="11" t="n">
        <v>440.51</v>
      </c>
    </row>
    <row r="4">
      <c r="A4" s="9" t="inlineStr">
        <is>
          <t>CUST017</t>
        </is>
      </c>
      <c r="B4" s="9" t="inlineStr">
        <is>
          <t>James Taylor</t>
        </is>
      </c>
      <c r="C4" s="9" t="inlineStr">
        <is>
          <t>East</t>
        </is>
      </c>
      <c r="D4" s="9" t="inlineStr">
        <is>
          <t>Books</t>
        </is>
      </c>
      <c r="E4" s="11" t="n">
        <v>713.34</v>
      </c>
      <c r="F4" s="9" t="n">
        <v>17</v>
      </c>
      <c r="G4" s="12" t="n">
        <v>0</v>
      </c>
      <c r="H4" s="9" t="inlineStr">
        <is>
          <t>2024-04-14</t>
        </is>
      </c>
      <c r="I4" s="11" t="n">
        <v>285.34</v>
      </c>
    </row>
    <row r="5">
      <c r="A5" s="9" t="inlineStr">
        <is>
          <t>CUST005</t>
        </is>
      </c>
      <c r="B5" s="9" t="inlineStr">
        <is>
          <t>Robert Anderson</t>
        </is>
      </c>
      <c r="C5" s="9" t="inlineStr">
        <is>
          <t>South</t>
        </is>
      </c>
      <c r="D5" s="9" t="inlineStr">
        <is>
          <t>Electronics</t>
        </is>
      </c>
      <c r="E5" s="11" t="n">
        <v>760.9299999999999</v>
      </c>
      <c r="F5" s="9" t="n">
        <v>4</v>
      </c>
      <c r="G5" s="12" t="n">
        <v>0.15</v>
      </c>
      <c r="H5" s="9" t="inlineStr">
        <is>
          <t>2024-04-14</t>
        </is>
      </c>
      <c r="I5" s="11" t="n">
        <v>161.7</v>
      </c>
    </row>
    <row r="6">
      <c r="A6" s="9" t="inlineStr">
        <is>
          <t>CUST030</t>
        </is>
      </c>
      <c r="B6" s="9" t="inlineStr">
        <is>
          <t>James Wilson</t>
        </is>
      </c>
      <c r="C6" s="9" t="inlineStr">
        <is>
          <t>North</t>
        </is>
      </c>
      <c r="D6" s="9" t="inlineStr">
        <is>
          <t>Books</t>
        </is>
      </c>
      <c r="E6" s="11" t="n">
        <v>847</v>
      </c>
      <c r="F6" s="9" t="n">
        <v>12</v>
      </c>
      <c r="G6" s="12" t="n">
        <v>0.2</v>
      </c>
      <c r="H6" s="9" t="inlineStr">
        <is>
          <t>2024-04-15</t>
        </is>
      </c>
      <c r="I6" s="11" t="n">
        <v>271.04</v>
      </c>
    </row>
    <row r="7">
      <c r="A7" s="9" t="inlineStr">
        <is>
          <t>CUST007</t>
        </is>
      </c>
      <c r="B7" s="9" t="inlineStr">
        <is>
          <t>Michael Anderson</t>
        </is>
      </c>
      <c r="C7" s="9" t="inlineStr">
        <is>
          <t>North</t>
        </is>
      </c>
      <c r="D7" s="9" t="inlineStr">
        <is>
          <t>Furniture</t>
        </is>
      </c>
      <c r="E7" s="11" t="n">
        <v>965.64</v>
      </c>
      <c r="F7" s="9" t="n">
        <v>8</v>
      </c>
      <c r="G7" s="12" t="n">
        <v>0.1</v>
      </c>
      <c r="H7" s="9" t="inlineStr">
        <is>
          <t>2024-04-16</t>
        </is>
      </c>
      <c r="I7" s="11" t="n">
        <v>304.18</v>
      </c>
    </row>
    <row r="8">
      <c r="A8" s="9" t="inlineStr">
        <is>
          <t>CUST001</t>
        </is>
      </c>
      <c r="B8" s="9" t="inlineStr">
        <is>
          <t>Linda Wilson</t>
        </is>
      </c>
      <c r="C8" s="9" t="inlineStr">
        <is>
          <t>West</t>
        </is>
      </c>
      <c r="D8" s="9" t="inlineStr">
        <is>
          <t>Electronics</t>
        </is>
      </c>
      <c r="E8" s="11" t="n">
        <v>1317.53</v>
      </c>
      <c r="F8" s="9" t="n">
        <v>12</v>
      </c>
      <c r="G8" s="12" t="n">
        <v>0.05</v>
      </c>
      <c r="H8" s="9" t="inlineStr">
        <is>
          <t>2024-04-16</t>
        </is>
      </c>
      <c r="I8" s="11" t="n">
        <v>312.91</v>
      </c>
    </row>
    <row r="9">
      <c r="A9" s="9" t="inlineStr">
        <is>
          <t>CUST026</t>
        </is>
      </c>
      <c r="B9" s="9" t="inlineStr">
        <is>
          <t>Mary Davis</t>
        </is>
      </c>
      <c r="C9" s="9" t="inlineStr">
        <is>
          <t>East</t>
        </is>
      </c>
      <c r="D9" s="9" t="inlineStr">
        <is>
          <t>Furniture</t>
        </is>
      </c>
      <c r="E9" s="11" t="n">
        <v>1074.47</v>
      </c>
      <c r="F9" s="9" t="n">
        <v>6</v>
      </c>
      <c r="G9" s="12" t="n">
        <v>0.2</v>
      </c>
      <c r="H9" s="9" t="inlineStr">
        <is>
          <t>2024-04-19</t>
        </is>
      </c>
      <c r="I9" s="11" t="n">
        <v>300.85</v>
      </c>
    </row>
    <row r="10">
      <c r="A10" s="9" t="inlineStr">
        <is>
          <t>CUST009</t>
        </is>
      </c>
      <c r="B10" s="9" t="inlineStr">
        <is>
          <t>Linda Jackson</t>
        </is>
      </c>
      <c r="C10" s="9" t="inlineStr">
        <is>
          <t>Central</t>
        </is>
      </c>
      <c r="D10" s="9" t="inlineStr">
        <is>
          <t>Books</t>
        </is>
      </c>
      <c r="E10" s="11" t="n">
        <v>501.54</v>
      </c>
      <c r="F10" s="9" t="n">
        <v>11</v>
      </c>
      <c r="G10" s="12" t="n">
        <v>0.05</v>
      </c>
      <c r="H10" s="9" t="inlineStr">
        <is>
          <t>2024-04-19</t>
        </is>
      </c>
      <c r="I10" s="11" t="n">
        <v>190.59</v>
      </c>
    </row>
    <row r="11">
      <c r="A11" s="9" t="inlineStr">
        <is>
          <t>CUST010</t>
        </is>
      </c>
      <c r="B11" s="9" t="inlineStr">
        <is>
          <t>David Thomas</t>
        </is>
      </c>
      <c r="C11" s="9" t="inlineStr">
        <is>
          <t>Central</t>
        </is>
      </c>
      <c r="D11" s="9" t="inlineStr">
        <is>
          <t>Clothing</t>
        </is>
      </c>
      <c r="E11" s="11" t="n">
        <v>737.3099999999999</v>
      </c>
      <c r="F11" s="9" t="n">
        <v>2</v>
      </c>
      <c r="G11" s="12" t="n">
        <v>0.05</v>
      </c>
      <c r="H11" s="9" t="inlineStr">
        <is>
          <t>2024-04-19</t>
        </is>
      </c>
      <c r="I11" s="11" t="n">
        <v>350.22</v>
      </c>
    </row>
    <row r="12">
      <c r="A12" s="9" t="inlineStr">
        <is>
          <t>CUST014</t>
        </is>
      </c>
      <c r="B12" s="9" t="inlineStr">
        <is>
          <t>Emma Davis</t>
        </is>
      </c>
      <c r="C12" s="9" t="inlineStr">
        <is>
          <t>West</t>
        </is>
      </c>
      <c r="D12" s="9" t="inlineStr">
        <is>
          <t>Office Supplies</t>
        </is>
      </c>
      <c r="E12" s="11" t="n">
        <v>1572.82</v>
      </c>
      <c r="F12" s="9" t="n">
        <v>6</v>
      </c>
      <c r="G12" s="12" t="n">
        <v>0.05</v>
      </c>
      <c r="H12" s="9" t="inlineStr">
        <is>
          <t>2024-04-20</t>
        </is>
      </c>
      <c r="I12" s="11" t="n">
        <v>672.38</v>
      </c>
    </row>
    <row r="13">
      <c r="A13" s="9" t="inlineStr">
        <is>
          <t>CUST014</t>
        </is>
      </c>
      <c r="B13" s="9" t="inlineStr">
        <is>
          <t>David Thomas</t>
        </is>
      </c>
      <c r="C13" s="9" t="inlineStr">
        <is>
          <t>Central</t>
        </is>
      </c>
      <c r="D13" s="9" t="inlineStr">
        <is>
          <t>Books</t>
        </is>
      </c>
      <c r="E13" s="11" t="n">
        <v>1343.13</v>
      </c>
      <c r="F13" s="9" t="n">
        <v>14</v>
      </c>
      <c r="G13" s="12" t="n">
        <v>0.15</v>
      </c>
      <c r="H13" s="9" t="inlineStr">
        <is>
          <t>2024-04-22</t>
        </is>
      </c>
      <c r="I13" s="11" t="n">
        <v>456.66</v>
      </c>
    </row>
    <row r="14">
      <c r="A14" s="9" t="inlineStr">
        <is>
          <t>CUST007</t>
        </is>
      </c>
      <c r="B14" s="9" t="inlineStr">
        <is>
          <t>Michael Anderson</t>
        </is>
      </c>
      <c r="C14" s="9" t="inlineStr">
        <is>
          <t>Central</t>
        </is>
      </c>
      <c r="D14" s="9" t="inlineStr">
        <is>
          <t>Books</t>
        </is>
      </c>
      <c r="E14" s="11" t="n">
        <v>1191.58</v>
      </c>
      <c r="F14" s="9" t="n">
        <v>14</v>
      </c>
      <c r="G14" s="12" t="n">
        <v>0.05</v>
      </c>
      <c r="H14" s="9" t="inlineStr">
        <is>
          <t>2024-04-24</t>
        </is>
      </c>
      <c r="I14" s="11" t="n">
        <v>452.8</v>
      </c>
    </row>
    <row r="15">
      <c r="A15" s="9" t="inlineStr">
        <is>
          <t>CUST023</t>
        </is>
      </c>
      <c r="B15" s="9" t="inlineStr">
        <is>
          <t>Robert Anderson</t>
        </is>
      </c>
      <c r="C15" s="9" t="inlineStr">
        <is>
          <t>West</t>
        </is>
      </c>
      <c r="D15" s="9" t="inlineStr">
        <is>
          <t>Furniture</t>
        </is>
      </c>
      <c r="E15" s="11" t="n">
        <v>822.28</v>
      </c>
      <c r="F15" s="9" t="n">
        <v>7</v>
      </c>
      <c r="G15" s="12" t="n">
        <v>0.05</v>
      </c>
      <c r="H15" s="9" t="inlineStr">
        <is>
          <t>2024-04-24</t>
        </is>
      </c>
      <c r="I15" s="11" t="n">
        <v>273.41</v>
      </c>
    </row>
    <row r="16">
      <c r="A16" s="9" t="inlineStr">
        <is>
          <t>CUST029</t>
        </is>
      </c>
      <c r="B16" s="9" t="inlineStr">
        <is>
          <t>David Smith</t>
        </is>
      </c>
      <c r="C16" s="9" t="inlineStr">
        <is>
          <t>North</t>
        </is>
      </c>
      <c r="D16" s="9" t="inlineStr">
        <is>
          <t>Furniture</t>
        </is>
      </c>
      <c r="E16" s="11" t="n">
        <v>521.67</v>
      </c>
      <c r="F16" s="9" t="n">
        <v>15</v>
      </c>
      <c r="G16" s="12" t="n">
        <v>0.15</v>
      </c>
      <c r="H16" s="9" t="inlineStr">
        <is>
          <t>2024-04-27</t>
        </is>
      </c>
      <c r="I16" s="11" t="n">
        <v>155.2</v>
      </c>
    </row>
    <row r="17">
      <c r="A17" s="9" t="inlineStr">
        <is>
          <t>CUST005</t>
        </is>
      </c>
      <c r="B17" s="9" t="inlineStr">
        <is>
          <t>Sarah Anderson</t>
        </is>
      </c>
      <c r="C17" s="9" t="inlineStr">
        <is>
          <t>South</t>
        </is>
      </c>
      <c r="D17" s="9" t="inlineStr">
        <is>
          <t>Electronics</t>
        </is>
      </c>
      <c r="E17" s="11" t="n">
        <v>1502.93</v>
      </c>
      <c r="F17" s="9" t="n">
        <v>14</v>
      </c>
      <c r="G17" s="12" t="n">
        <v>0.2</v>
      </c>
      <c r="H17" s="9" t="inlineStr">
        <is>
          <t>2024-04-28</t>
        </is>
      </c>
      <c r="I17" s="11" t="n">
        <v>300.59</v>
      </c>
    </row>
    <row r="18">
      <c r="A18" s="9" t="inlineStr">
        <is>
          <t>CUST008</t>
        </is>
      </c>
      <c r="B18" s="9" t="inlineStr">
        <is>
          <t>Robert Anderson</t>
        </is>
      </c>
      <c r="C18" s="9" t="inlineStr">
        <is>
          <t>South</t>
        </is>
      </c>
      <c r="D18" s="9" t="inlineStr">
        <is>
          <t>Books</t>
        </is>
      </c>
      <c r="E18" s="11" t="n">
        <v>877.58</v>
      </c>
      <c r="F18" s="9" t="n">
        <v>10</v>
      </c>
      <c r="G18" s="12" t="n">
        <v>0.15</v>
      </c>
      <c r="H18" s="9" t="inlineStr">
        <is>
          <t>2024-04-29</t>
        </is>
      </c>
      <c r="I18" s="11" t="n">
        <v>298.38</v>
      </c>
    </row>
    <row r="19">
      <c r="A19" s="9" t="inlineStr">
        <is>
          <t>CUST001</t>
        </is>
      </c>
      <c r="B19" s="9" t="inlineStr">
        <is>
          <t>Lisa Thomas</t>
        </is>
      </c>
      <c r="C19" s="9" t="inlineStr">
        <is>
          <t>West</t>
        </is>
      </c>
      <c r="D19" s="9" t="inlineStr">
        <is>
          <t>Books</t>
        </is>
      </c>
      <c r="E19" s="11" t="n">
        <v>636.7</v>
      </c>
      <c r="F19" s="9" t="n">
        <v>4</v>
      </c>
      <c r="G19" s="12" t="n">
        <v>0.2</v>
      </c>
      <c r="H19" s="9" t="inlineStr">
        <is>
          <t>2024-04-29</t>
        </is>
      </c>
      <c r="I19" s="11" t="n">
        <v>203.74</v>
      </c>
    </row>
    <row r="20">
      <c r="A20" s="9" t="inlineStr">
        <is>
          <t>CUST006</t>
        </is>
      </c>
      <c r="B20" s="9" t="inlineStr">
        <is>
          <t>Mary Jackson</t>
        </is>
      </c>
      <c r="C20" s="9" t="inlineStr">
        <is>
          <t>West</t>
        </is>
      </c>
      <c r="D20" s="9" t="inlineStr">
        <is>
          <t>Books</t>
        </is>
      </c>
      <c r="E20" s="11" t="n">
        <v>1506.14</v>
      </c>
      <c r="F20" s="9" t="n">
        <v>13</v>
      </c>
      <c r="G20" s="12" t="n">
        <v>0.2</v>
      </c>
      <c r="H20" s="9" t="inlineStr">
        <is>
          <t>2024-04-30</t>
        </is>
      </c>
      <c r="I20" s="11" t="n">
        <v>481.96</v>
      </c>
    </row>
    <row r="21">
      <c r="A21" s="9" t="inlineStr">
        <is>
          <t>CUST026</t>
        </is>
      </c>
      <c r="B21" s="9" t="inlineStr">
        <is>
          <t>Mary Davis</t>
        </is>
      </c>
      <c r="C21" s="9" t="inlineStr">
        <is>
          <t>Central</t>
        </is>
      </c>
      <c r="D21" s="9" t="inlineStr">
        <is>
          <t>Electronics</t>
        </is>
      </c>
      <c r="E21" s="11" t="n">
        <v>645.02</v>
      </c>
      <c r="F21" s="9" t="n">
        <v>4</v>
      </c>
      <c r="G21" s="12" t="n">
        <v>0</v>
      </c>
      <c r="H21" s="9" t="inlineStr">
        <is>
          <t>2024-05-02</t>
        </is>
      </c>
      <c r="I21" s="11" t="n">
        <v>161.26</v>
      </c>
    </row>
    <row r="22">
      <c r="A22" s="9" t="inlineStr">
        <is>
          <t>CUST007</t>
        </is>
      </c>
      <c r="B22" s="9" t="inlineStr">
        <is>
          <t>Lisa Davis</t>
        </is>
      </c>
      <c r="C22" s="9" t="inlineStr">
        <is>
          <t>South</t>
        </is>
      </c>
      <c r="D22" s="9" t="inlineStr">
        <is>
          <t>Clothing</t>
        </is>
      </c>
      <c r="E22" s="11" t="n">
        <v>953.3</v>
      </c>
      <c r="F22" s="9" t="n">
        <v>11</v>
      </c>
      <c r="G22" s="12" t="n">
        <v>0</v>
      </c>
      <c r="H22" s="9" t="inlineStr">
        <is>
          <t>2024-05-03</t>
        </is>
      </c>
      <c r="I22" s="11" t="n">
        <v>476.65</v>
      </c>
    </row>
    <row r="23">
      <c r="A23" s="9" t="inlineStr">
        <is>
          <t>CUST022</t>
        </is>
      </c>
      <c r="B23" s="9" t="inlineStr">
        <is>
          <t>Robert Anderson</t>
        </is>
      </c>
      <c r="C23" s="9" t="inlineStr">
        <is>
          <t>North</t>
        </is>
      </c>
      <c r="D23" s="9" t="inlineStr">
        <is>
          <t>Electronics</t>
        </is>
      </c>
      <c r="E23" s="11" t="n">
        <v>388.56</v>
      </c>
      <c r="F23" s="9" t="n">
        <v>14</v>
      </c>
      <c r="G23" s="12" t="n">
        <v>0.15</v>
      </c>
      <c r="H23" s="9" t="inlineStr">
        <is>
          <t>2024-05-04</t>
        </is>
      </c>
      <c r="I23" s="11" t="n">
        <v>82.56999999999999</v>
      </c>
    </row>
    <row r="24">
      <c r="A24" s="9" t="inlineStr">
        <is>
          <t>CUST019</t>
        </is>
      </c>
      <c r="B24" s="9" t="inlineStr">
        <is>
          <t>Mary Davis</t>
        </is>
      </c>
      <c r="C24" s="9" t="inlineStr">
        <is>
          <t>West</t>
        </is>
      </c>
      <c r="D24" s="9" t="inlineStr">
        <is>
          <t>Books</t>
        </is>
      </c>
      <c r="E24" s="11" t="n">
        <v>743.17</v>
      </c>
      <c r="F24" s="9" t="n">
        <v>9</v>
      </c>
      <c r="G24" s="12" t="n">
        <v>0</v>
      </c>
      <c r="H24" s="9" t="inlineStr">
        <is>
          <t>2024-05-04</t>
        </is>
      </c>
      <c r="I24" s="11" t="n">
        <v>297.27</v>
      </c>
    </row>
    <row r="25">
      <c r="A25" s="9" t="inlineStr">
        <is>
          <t>CUST023</t>
        </is>
      </c>
      <c r="B25" s="9" t="inlineStr">
        <is>
          <t>Mary Davis</t>
        </is>
      </c>
      <c r="C25" s="9" t="inlineStr">
        <is>
          <t>Central</t>
        </is>
      </c>
      <c r="D25" s="9" t="inlineStr">
        <is>
          <t>Electronics</t>
        </is>
      </c>
      <c r="E25" s="11" t="n">
        <v>706.37</v>
      </c>
      <c r="F25" s="9" t="n">
        <v>6</v>
      </c>
      <c r="G25" s="12" t="n">
        <v>0</v>
      </c>
      <c r="H25" s="9" t="inlineStr">
        <is>
          <t>2024-05-04</t>
        </is>
      </c>
      <c r="I25" s="11" t="n">
        <v>176.59</v>
      </c>
    </row>
    <row r="26">
      <c r="A26" s="9" t="inlineStr">
        <is>
          <t>CUST012</t>
        </is>
      </c>
      <c r="B26" s="9" t="inlineStr">
        <is>
          <t>Mary Davis</t>
        </is>
      </c>
      <c r="C26" s="9" t="inlineStr">
        <is>
          <t>Central</t>
        </is>
      </c>
      <c r="D26" s="9" t="inlineStr">
        <is>
          <t>Office Supplies</t>
        </is>
      </c>
      <c r="E26" s="11" t="n">
        <v>925.3099999999999</v>
      </c>
      <c r="F26" s="9" t="n">
        <v>8</v>
      </c>
      <c r="G26" s="12" t="n">
        <v>0.1</v>
      </c>
      <c r="H26" s="9" t="inlineStr">
        <is>
          <t>2024-05-06</t>
        </is>
      </c>
      <c r="I26" s="11" t="n">
        <v>374.75</v>
      </c>
    </row>
    <row r="27">
      <c r="A27" s="9" t="inlineStr">
        <is>
          <t>CUST010</t>
        </is>
      </c>
      <c r="B27" s="9" t="inlineStr">
        <is>
          <t>Linda Brown</t>
        </is>
      </c>
      <c r="C27" s="9" t="inlineStr">
        <is>
          <t>South</t>
        </is>
      </c>
      <c r="D27" s="9" t="inlineStr">
        <is>
          <t>Electronics</t>
        </is>
      </c>
      <c r="E27" s="11" t="n">
        <v>1173.12</v>
      </c>
      <c r="F27" s="9" t="n">
        <v>18</v>
      </c>
      <c r="G27" s="12" t="n">
        <v>0</v>
      </c>
      <c r="H27" s="9" t="inlineStr">
        <is>
          <t>2024-05-06</t>
        </is>
      </c>
      <c r="I27" s="11" t="n">
        <v>293.28</v>
      </c>
    </row>
    <row r="28">
      <c r="A28" s="9" t="inlineStr">
        <is>
          <t>CUST030</t>
        </is>
      </c>
      <c r="B28" s="9" t="inlineStr">
        <is>
          <t>John Brown</t>
        </is>
      </c>
      <c r="C28" s="9" t="inlineStr">
        <is>
          <t>North</t>
        </is>
      </c>
      <c r="D28" s="9" t="inlineStr">
        <is>
          <t>Furniture</t>
        </is>
      </c>
      <c r="E28" s="11" t="n">
        <v>675.54</v>
      </c>
      <c r="F28" s="9" t="n">
        <v>17</v>
      </c>
      <c r="G28" s="12" t="n">
        <v>0</v>
      </c>
      <c r="H28" s="9" t="inlineStr">
        <is>
          <t>2024-05-08</t>
        </is>
      </c>
      <c r="I28" s="11" t="n">
        <v>236.44</v>
      </c>
    </row>
    <row r="29">
      <c r="A29" s="9" t="inlineStr">
        <is>
          <t>CUST007</t>
        </is>
      </c>
      <c r="B29" s="9" t="inlineStr">
        <is>
          <t>Robert Anderson</t>
        </is>
      </c>
      <c r="C29" s="9" t="inlineStr">
        <is>
          <t>Central</t>
        </is>
      </c>
      <c r="D29" s="9" t="inlineStr">
        <is>
          <t>Books</t>
        </is>
      </c>
      <c r="E29" s="11" t="n">
        <v>939.09</v>
      </c>
      <c r="F29" s="9" t="n">
        <v>2</v>
      </c>
      <c r="G29" s="12" t="n">
        <v>0.05</v>
      </c>
      <c r="H29" s="9" t="inlineStr">
        <is>
          <t>2024-05-10</t>
        </is>
      </c>
      <c r="I29" s="11" t="n">
        <v>356.85</v>
      </c>
    </row>
    <row r="30">
      <c r="A30" s="9" t="inlineStr">
        <is>
          <t>CUST028</t>
        </is>
      </c>
      <c r="B30" s="9" t="inlineStr">
        <is>
          <t>Linda Taylor</t>
        </is>
      </c>
      <c r="C30" s="9" t="inlineStr">
        <is>
          <t>East</t>
        </is>
      </c>
      <c r="D30" s="9" t="inlineStr">
        <is>
          <t>Office Supplies</t>
        </is>
      </c>
      <c r="E30" s="11" t="n">
        <v>983.34</v>
      </c>
      <c r="F30" s="9" t="n">
        <v>19</v>
      </c>
      <c r="G30" s="12" t="n">
        <v>0.1</v>
      </c>
      <c r="H30" s="9" t="inlineStr">
        <is>
          <t>2024-05-14</t>
        </is>
      </c>
      <c r="I30" s="11" t="n">
        <v>398.25</v>
      </c>
    </row>
    <row r="31">
      <c r="A31" s="9" t="inlineStr">
        <is>
          <t>CUST028</t>
        </is>
      </c>
      <c r="B31" s="9" t="inlineStr">
        <is>
          <t>James Wilson</t>
        </is>
      </c>
      <c r="C31" s="9" t="inlineStr">
        <is>
          <t>South</t>
        </is>
      </c>
      <c r="D31" s="9" t="inlineStr">
        <is>
          <t>Electronics</t>
        </is>
      </c>
      <c r="E31" s="11" t="n">
        <v>801.21</v>
      </c>
      <c r="F31" s="9" t="n">
        <v>3</v>
      </c>
      <c r="G31" s="12" t="n">
        <v>0.2</v>
      </c>
      <c r="H31" s="9" t="inlineStr">
        <is>
          <t>2024-05-14</t>
        </is>
      </c>
      <c r="I31" s="11" t="n">
        <v>160.24</v>
      </c>
    </row>
    <row r="32">
      <c r="A32" s="9" t="inlineStr">
        <is>
          <t>CUST025</t>
        </is>
      </c>
      <c r="B32" s="9" t="inlineStr">
        <is>
          <t>David Brown</t>
        </is>
      </c>
      <c r="C32" s="9" t="inlineStr">
        <is>
          <t>North</t>
        </is>
      </c>
      <c r="D32" s="9" t="inlineStr">
        <is>
          <t>Electronics</t>
        </is>
      </c>
      <c r="E32" s="11" t="n">
        <v>1450.71</v>
      </c>
      <c r="F32" s="9" t="n">
        <v>5</v>
      </c>
      <c r="G32" s="12" t="n">
        <v>0.1</v>
      </c>
      <c r="H32" s="9" t="inlineStr">
        <is>
          <t>2024-05-15</t>
        </is>
      </c>
      <c r="I32" s="11" t="n">
        <v>326.41</v>
      </c>
    </row>
    <row r="33">
      <c r="A33" s="9" t="inlineStr">
        <is>
          <t>CUST022</t>
        </is>
      </c>
      <c r="B33" s="9" t="inlineStr">
        <is>
          <t>David Davis</t>
        </is>
      </c>
      <c r="C33" s="9" t="inlineStr">
        <is>
          <t>Central</t>
        </is>
      </c>
      <c r="D33" s="9" t="inlineStr">
        <is>
          <t>Books</t>
        </is>
      </c>
      <c r="E33" s="11" t="n">
        <v>1023.21</v>
      </c>
      <c r="F33" s="9" t="n">
        <v>18</v>
      </c>
      <c r="G33" s="12" t="n">
        <v>0.05</v>
      </c>
      <c r="H33" s="9" t="inlineStr">
        <is>
          <t>2024-05-16</t>
        </is>
      </c>
      <c r="I33" s="11" t="n">
        <v>388.82</v>
      </c>
    </row>
    <row r="34">
      <c r="A34" s="9" t="inlineStr">
        <is>
          <t>CUST001</t>
        </is>
      </c>
      <c r="B34" s="9" t="inlineStr">
        <is>
          <t>Mary Jackson</t>
        </is>
      </c>
      <c r="C34" s="9" t="inlineStr">
        <is>
          <t>West</t>
        </is>
      </c>
      <c r="D34" s="9" t="inlineStr">
        <is>
          <t>Furniture</t>
        </is>
      </c>
      <c r="E34" s="11" t="n">
        <v>853.72</v>
      </c>
      <c r="F34" s="9" t="n">
        <v>5</v>
      </c>
      <c r="G34" s="12" t="n">
        <v>0.15</v>
      </c>
      <c r="H34" s="9" t="inlineStr">
        <is>
          <t>2024-05-16</t>
        </is>
      </c>
      <c r="I34" s="11" t="n">
        <v>253.98</v>
      </c>
    </row>
    <row r="35">
      <c r="A35" s="9" t="inlineStr">
        <is>
          <t>CUST021</t>
        </is>
      </c>
      <c r="B35" s="9" t="inlineStr">
        <is>
          <t>Sarah Anderson</t>
        </is>
      </c>
      <c r="C35" s="9" t="inlineStr">
        <is>
          <t>South</t>
        </is>
      </c>
      <c r="D35" s="9" t="inlineStr">
        <is>
          <t>Electronics</t>
        </is>
      </c>
      <c r="E35" s="11" t="n">
        <v>967.89</v>
      </c>
      <c r="F35" s="9" t="n">
        <v>10</v>
      </c>
      <c r="G35" s="12" t="n">
        <v>0.1</v>
      </c>
      <c r="H35" s="9" t="inlineStr">
        <is>
          <t>2024-05-17</t>
        </is>
      </c>
      <c r="I35" s="11" t="n">
        <v>217.78</v>
      </c>
    </row>
    <row r="36">
      <c r="A36" s="9" t="inlineStr">
        <is>
          <t>CUST015</t>
        </is>
      </c>
      <c r="B36" s="9" t="inlineStr">
        <is>
          <t>Linda Taylor</t>
        </is>
      </c>
      <c r="C36" s="9" t="inlineStr">
        <is>
          <t>North</t>
        </is>
      </c>
      <c r="D36" s="9" t="inlineStr">
        <is>
          <t>Office Supplies</t>
        </is>
      </c>
      <c r="E36" s="11" t="n">
        <v>1200.9</v>
      </c>
      <c r="F36" s="9" t="n">
        <v>14</v>
      </c>
      <c r="G36" s="12" t="n">
        <v>0.05</v>
      </c>
      <c r="H36" s="9" t="inlineStr">
        <is>
          <t>2024-05-17</t>
        </is>
      </c>
      <c r="I36" s="11" t="n">
        <v>513.38</v>
      </c>
    </row>
    <row r="37">
      <c r="A37" s="9" t="inlineStr">
        <is>
          <t>CUST012</t>
        </is>
      </c>
      <c r="B37" s="9" t="inlineStr">
        <is>
          <t>Michael Anderson</t>
        </is>
      </c>
      <c r="C37" s="9" t="inlineStr">
        <is>
          <t>West</t>
        </is>
      </c>
      <c r="D37" s="9" t="inlineStr">
        <is>
          <t>Books</t>
        </is>
      </c>
      <c r="E37" s="11" t="n">
        <v>472.38</v>
      </c>
      <c r="F37" s="9" t="n">
        <v>12</v>
      </c>
      <c r="G37" s="12" t="n">
        <v>0.2</v>
      </c>
      <c r="H37" s="9" t="inlineStr">
        <is>
          <t>2024-05-17</t>
        </is>
      </c>
      <c r="I37" s="11" t="n">
        <v>151.16</v>
      </c>
    </row>
    <row r="38">
      <c r="A38" s="9" t="inlineStr">
        <is>
          <t>CUST019</t>
        </is>
      </c>
      <c r="B38" s="9" t="inlineStr">
        <is>
          <t>David Brown</t>
        </is>
      </c>
      <c r="C38" s="9" t="inlineStr">
        <is>
          <t>East</t>
        </is>
      </c>
      <c r="D38" s="9" t="inlineStr">
        <is>
          <t>Office Supplies</t>
        </is>
      </c>
      <c r="E38" s="11" t="n">
        <v>840.92</v>
      </c>
      <c r="F38" s="9" t="n">
        <v>9</v>
      </c>
      <c r="G38" s="12" t="n">
        <v>0.05</v>
      </c>
      <c r="H38" s="9" t="inlineStr">
        <is>
          <t>2024-05-17</t>
        </is>
      </c>
      <c r="I38" s="11" t="n">
        <v>359.49</v>
      </c>
    </row>
    <row r="39">
      <c r="A39" s="9" t="inlineStr">
        <is>
          <t>CUST028</t>
        </is>
      </c>
      <c r="B39" s="9" t="inlineStr">
        <is>
          <t>Lisa Davis</t>
        </is>
      </c>
      <c r="C39" s="9" t="inlineStr">
        <is>
          <t>Central</t>
        </is>
      </c>
      <c r="D39" s="9" t="inlineStr">
        <is>
          <t>Furniture</t>
        </is>
      </c>
      <c r="E39" s="11" t="n">
        <v>1410.06</v>
      </c>
      <c r="F39" s="9" t="n">
        <v>11</v>
      </c>
      <c r="G39" s="12" t="n">
        <v>0.05</v>
      </c>
      <c r="H39" s="9" t="inlineStr">
        <is>
          <t>2024-05-22</t>
        </is>
      </c>
      <c r="I39" s="11" t="n">
        <v>468.84</v>
      </c>
    </row>
    <row r="40">
      <c r="A40" s="9" t="inlineStr">
        <is>
          <t>CUST008</t>
        </is>
      </c>
      <c r="B40" s="9" t="inlineStr">
        <is>
          <t>Mary Wilson</t>
        </is>
      </c>
      <c r="C40" s="9" t="inlineStr">
        <is>
          <t>Central</t>
        </is>
      </c>
      <c r="D40" s="9" t="inlineStr">
        <is>
          <t>Furniture</t>
        </is>
      </c>
      <c r="E40" s="11" t="n">
        <v>773.09</v>
      </c>
      <c r="F40" s="9" t="n">
        <v>13</v>
      </c>
      <c r="G40" s="12" t="n">
        <v>0.15</v>
      </c>
      <c r="H40" s="9" t="inlineStr">
        <is>
          <t>2024-05-22</t>
        </is>
      </c>
      <c r="I40" s="11" t="n">
        <v>229.99</v>
      </c>
    </row>
    <row r="41">
      <c r="A41" s="9" t="inlineStr">
        <is>
          <t>CUST016</t>
        </is>
      </c>
      <c r="B41" s="9" t="inlineStr">
        <is>
          <t>Emma Wilson</t>
        </is>
      </c>
      <c r="C41" s="9" t="inlineStr">
        <is>
          <t>East</t>
        </is>
      </c>
      <c r="D41" s="9" t="inlineStr">
        <is>
          <t>Books</t>
        </is>
      </c>
      <c r="E41" s="11" t="n">
        <v>580.4299999999999</v>
      </c>
      <c r="F41" s="9" t="n">
        <v>19</v>
      </c>
      <c r="G41" s="12" t="n">
        <v>0.15</v>
      </c>
      <c r="H41" s="9" t="inlineStr">
        <is>
          <t>2024-05-23</t>
        </is>
      </c>
      <c r="I41" s="11" t="n">
        <v>197.35</v>
      </c>
    </row>
    <row r="42">
      <c r="A42" s="9" t="inlineStr">
        <is>
          <t>CUST005</t>
        </is>
      </c>
      <c r="B42" s="9" t="inlineStr">
        <is>
          <t>David Smith</t>
        </is>
      </c>
      <c r="C42" s="9" t="inlineStr">
        <is>
          <t>South</t>
        </is>
      </c>
      <c r="D42" s="9" t="inlineStr">
        <is>
          <t>Books</t>
        </is>
      </c>
      <c r="E42" s="11" t="n">
        <v>1151.21</v>
      </c>
      <c r="F42" s="9" t="n">
        <v>15</v>
      </c>
      <c r="G42" s="12" t="n">
        <v>0.1</v>
      </c>
      <c r="H42" s="9" t="inlineStr">
        <is>
          <t>2024-06-02</t>
        </is>
      </c>
      <c r="I42" s="11" t="n">
        <v>414.44</v>
      </c>
    </row>
    <row r="43">
      <c r="A43" s="9" t="inlineStr">
        <is>
          <t>CUST028</t>
        </is>
      </c>
      <c r="B43" s="9" t="inlineStr">
        <is>
          <t>James Wilson</t>
        </is>
      </c>
      <c r="C43" s="9" t="inlineStr">
        <is>
          <t>Central</t>
        </is>
      </c>
      <c r="D43" s="9" t="inlineStr">
        <is>
          <t>Office Supplies</t>
        </is>
      </c>
      <c r="E43" s="11" t="n">
        <v>1025.98</v>
      </c>
      <c r="F43" s="9" t="n">
        <v>5</v>
      </c>
      <c r="G43" s="12" t="n">
        <v>0.2</v>
      </c>
      <c r="H43" s="9" t="inlineStr">
        <is>
          <t>2024-06-04</t>
        </is>
      </c>
      <c r="I43" s="11" t="n">
        <v>369.35</v>
      </c>
    </row>
    <row r="44">
      <c r="A44" s="9" t="inlineStr">
        <is>
          <t>CUST023</t>
        </is>
      </c>
      <c r="B44" s="9" t="inlineStr">
        <is>
          <t>David Davis</t>
        </is>
      </c>
      <c r="C44" s="9" t="inlineStr">
        <is>
          <t>East</t>
        </is>
      </c>
      <c r="D44" s="9" t="inlineStr">
        <is>
          <t>Office Supplies</t>
        </is>
      </c>
      <c r="E44" s="11" t="n">
        <v>556.42</v>
      </c>
      <c r="F44" s="9" t="n">
        <v>11</v>
      </c>
      <c r="G44" s="12" t="n">
        <v>0.15</v>
      </c>
      <c r="H44" s="9" t="inlineStr">
        <is>
          <t>2024-06-04</t>
        </is>
      </c>
      <c r="I44" s="11" t="n">
        <v>212.83</v>
      </c>
    </row>
    <row r="45">
      <c r="A45" s="9" t="inlineStr">
        <is>
          <t>CUST021</t>
        </is>
      </c>
      <c r="B45" s="9" t="inlineStr">
        <is>
          <t>James Wilson</t>
        </is>
      </c>
      <c r="C45" s="9" t="inlineStr">
        <is>
          <t>Central</t>
        </is>
      </c>
      <c r="D45" s="9" t="inlineStr">
        <is>
          <t>Books</t>
        </is>
      </c>
      <c r="E45" s="11" t="n">
        <v>840.85</v>
      </c>
      <c r="F45" s="9" t="n">
        <v>19</v>
      </c>
      <c r="G45" s="12" t="n">
        <v>0.1</v>
      </c>
      <c r="H45" s="9" t="inlineStr">
        <is>
          <t>2024-06-05</t>
        </is>
      </c>
      <c r="I45" s="11" t="n">
        <v>302.71</v>
      </c>
    </row>
    <row r="46">
      <c r="A46" s="9" t="inlineStr">
        <is>
          <t>CUST026</t>
        </is>
      </c>
      <c r="B46" s="9" t="inlineStr">
        <is>
          <t>Emma Wilson</t>
        </is>
      </c>
      <c r="C46" s="9" t="inlineStr">
        <is>
          <t>North</t>
        </is>
      </c>
      <c r="D46" s="9" t="inlineStr">
        <is>
          <t>Furniture</t>
        </is>
      </c>
      <c r="E46" s="11" t="n">
        <v>1227.25</v>
      </c>
      <c r="F46" s="9" t="n">
        <v>12</v>
      </c>
      <c r="G46" s="12" t="n">
        <v>0.15</v>
      </c>
      <c r="H46" s="9" t="inlineStr">
        <is>
          <t>2024-06-05</t>
        </is>
      </c>
      <c r="I46" s="11" t="n">
        <v>365.11</v>
      </c>
    </row>
    <row r="47">
      <c r="A47" s="9" t="inlineStr">
        <is>
          <t>CUST017</t>
        </is>
      </c>
      <c r="B47" s="9" t="inlineStr">
        <is>
          <t>Linda Davis</t>
        </is>
      </c>
      <c r="C47" s="9" t="inlineStr">
        <is>
          <t>Central</t>
        </is>
      </c>
      <c r="D47" s="9" t="inlineStr">
        <is>
          <t>Electronics</t>
        </is>
      </c>
      <c r="E47" s="11" t="n">
        <v>856.7</v>
      </c>
      <c r="F47" s="9" t="n">
        <v>2</v>
      </c>
      <c r="G47" s="12" t="n">
        <v>0</v>
      </c>
      <c r="H47" s="9" t="inlineStr">
        <is>
          <t>2024-06-06</t>
        </is>
      </c>
      <c r="I47" s="11" t="n">
        <v>214.18</v>
      </c>
    </row>
    <row r="48">
      <c r="A48" s="9" t="inlineStr">
        <is>
          <t>CUST025</t>
        </is>
      </c>
      <c r="B48" s="9" t="inlineStr">
        <is>
          <t>David Davis</t>
        </is>
      </c>
      <c r="C48" s="9" t="inlineStr">
        <is>
          <t>Central</t>
        </is>
      </c>
      <c r="D48" s="9" t="inlineStr">
        <is>
          <t>Office Supplies</t>
        </is>
      </c>
      <c r="E48" s="11" t="n">
        <v>1225.42</v>
      </c>
      <c r="F48" s="9" t="n">
        <v>8</v>
      </c>
      <c r="G48" s="12" t="n">
        <v>0.15</v>
      </c>
      <c r="H48" s="9" t="inlineStr">
        <is>
          <t>2024-06-06</t>
        </is>
      </c>
      <c r="I48" s="11" t="n">
        <v>468.72</v>
      </c>
    </row>
    <row r="49">
      <c r="A49" s="9" t="inlineStr">
        <is>
          <t>CUST011</t>
        </is>
      </c>
      <c r="B49" s="9" t="inlineStr">
        <is>
          <t>Mary Davis</t>
        </is>
      </c>
      <c r="C49" s="9" t="inlineStr">
        <is>
          <t>North</t>
        </is>
      </c>
      <c r="D49" s="9" t="inlineStr">
        <is>
          <t>Office Supplies</t>
        </is>
      </c>
      <c r="E49" s="11" t="n">
        <v>1001.57</v>
      </c>
      <c r="F49" s="9" t="n">
        <v>12</v>
      </c>
      <c r="G49" s="12" t="n">
        <v>0</v>
      </c>
      <c r="H49" s="9" t="inlineStr">
        <is>
          <t>2024-06-07</t>
        </is>
      </c>
      <c r="I49" s="11" t="n">
        <v>450.71</v>
      </c>
    </row>
    <row r="50">
      <c r="A50" s="9" t="inlineStr">
        <is>
          <t>CUST021</t>
        </is>
      </c>
      <c r="B50" s="9" t="inlineStr">
        <is>
          <t>Michael Anderson</t>
        </is>
      </c>
      <c r="C50" s="9" t="inlineStr">
        <is>
          <t>East</t>
        </is>
      </c>
      <c r="D50" s="9" t="inlineStr">
        <is>
          <t>Furniture</t>
        </is>
      </c>
      <c r="E50" s="11" t="n">
        <v>1186.85</v>
      </c>
      <c r="F50" s="9" t="n">
        <v>19</v>
      </c>
      <c r="G50" s="12" t="n">
        <v>0.2</v>
      </c>
      <c r="H50" s="9" t="inlineStr">
        <is>
          <t>2024-06-08</t>
        </is>
      </c>
      <c r="I50" s="11" t="n">
        <v>332.32</v>
      </c>
    </row>
    <row r="51">
      <c r="A51" s="9" t="inlineStr">
        <is>
          <t>CUST008</t>
        </is>
      </c>
      <c r="B51" s="9" t="inlineStr">
        <is>
          <t>John Brown</t>
        </is>
      </c>
      <c r="C51" s="9" t="inlineStr">
        <is>
          <t>South</t>
        </is>
      </c>
      <c r="D51" s="9" t="inlineStr">
        <is>
          <t>Electronics</t>
        </is>
      </c>
      <c r="E51" s="11" t="n">
        <v>775.45</v>
      </c>
      <c r="F51" s="9" t="n">
        <v>6</v>
      </c>
      <c r="G51" s="12" t="n">
        <v>0.1</v>
      </c>
      <c r="H51" s="9" t="inlineStr">
        <is>
          <t>2024-06-14</t>
        </is>
      </c>
      <c r="I51" s="11" t="n">
        <v>174.48</v>
      </c>
    </row>
    <row r="52">
      <c r="A52" s="9" t="inlineStr">
        <is>
          <t>CUST007</t>
        </is>
      </c>
      <c r="B52" s="9" t="inlineStr">
        <is>
          <t>Linda Jackson</t>
        </is>
      </c>
      <c r="C52" s="9" t="inlineStr">
        <is>
          <t>South</t>
        </is>
      </c>
      <c r="D52" s="9" t="inlineStr">
        <is>
          <t>Electronics</t>
        </is>
      </c>
      <c r="E52" s="11" t="n">
        <v>1021.47</v>
      </c>
      <c r="F52" s="9" t="n">
        <v>6</v>
      </c>
      <c r="G52" s="12" t="n">
        <v>0.05</v>
      </c>
      <c r="H52" s="9" t="inlineStr">
        <is>
          <t>2024-06-18</t>
        </is>
      </c>
      <c r="I52" s="11" t="n">
        <v>242.6</v>
      </c>
    </row>
    <row r="53">
      <c r="A53" s="9" t="inlineStr">
        <is>
          <t>CUST015</t>
        </is>
      </c>
      <c r="B53" s="9" t="inlineStr">
        <is>
          <t>James Wilson</t>
        </is>
      </c>
      <c r="C53" s="9" t="inlineStr">
        <is>
          <t>South</t>
        </is>
      </c>
      <c r="D53" s="9" t="inlineStr">
        <is>
          <t>Clothing</t>
        </is>
      </c>
      <c r="E53" s="11" t="n">
        <v>1226.62</v>
      </c>
      <c r="F53" s="9" t="n">
        <v>7</v>
      </c>
      <c r="G53" s="12" t="n">
        <v>0.1</v>
      </c>
      <c r="H53" s="9" t="inlineStr">
        <is>
          <t>2024-06-20</t>
        </is>
      </c>
      <c r="I53" s="11" t="n">
        <v>551.98</v>
      </c>
    </row>
    <row r="54">
      <c r="A54" s="9" t="inlineStr">
        <is>
          <t>CUST030</t>
        </is>
      </c>
      <c r="B54" s="9" t="inlineStr">
        <is>
          <t>Sarah Davis</t>
        </is>
      </c>
      <c r="C54" s="9" t="inlineStr">
        <is>
          <t>South</t>
        </is>
      </c>
      <c r="D54" s="9" t="inlineStr">
        <is>
          <t>Furniture</t>
        </is>
      </c>
      <c r="E54" s="11" t="n">
        <v>1086.93</v>
      </c>
      <c r="F54" s="9" t="n">
        <v>2</v>
      </c>
      <c r="G54" s="12" t="n">
        <v>0</v>
      </c>
      <c r="H54" s="9" t="inlineStr">
        <is>
          <t>2024-06-21</t>
        </is>
      </c>
      <c r="I54" s="11" t="n">
        <v>380.43</v>
      </c>
    </row>
    <row r="55">
      <c r="A55" s="9" t="inlineStr">
        <is>
          <t>CUST002</t>
        </is>
      </c>
      <c r="B55" s="9" t="inlineStr">
        <is>
          <t>Lisa Davis</t>
        </is>
      </c>
      <c r="C55" s="9" t="inlineStr">
        <is>
          <t>West</t>
        </is>
      </c>
      <c r="D55" s="9" t="inlineStr">
        <is>
          <t>Books</t>
        </is>
      </c>
      <c r="E55" s="11" t="n">
        <v>942.9</v>
      </c>
      <c r="F55" s="9" t="n">
        <v>18</v>
      </c>
      <c r="G55" s="12" t="n">
        <v>0.1</v>
      </c>
      <c r="H55" s="9" t="inlineStr">
        <is>
          <t>2024-06-23</t>
        </is>
      </c>
      <c r="I55" s="11" t="n">
        <v>339.44</v>
      </c>
    </row>
    <row r="56">
      <c r="A56" s="9" t="inlineStr">
        <is>
          <t>CUST009</t>
        </is>
      </c>
      <c r="B56" s="9" t="inlineStr">
        <is>
          <t>Emma Davis</t>
        </is>
      </c>
      <c r="C56" s="9" t="inlineStr">
        <is>
          <t>North</t>
        </is>
      </c>
      <c r="D56" s="9" t="inlineStr">
        <is>
          <t>Electronics</t>
        </is>
      </c>
      <c r="E56" s="11" t="n">
        <v>818.8</v>
      </c>
      <c r="F56" s="9" t="n">
        <v>15</v>
      </c>
      <c r="G56" s="12" t="n">
        <v>0.15</v>
      </c>
      <c r="H56" s="9" t="inlineStr">
        <is>
          <t>2024-06-25</t>
        </is>
      </c>
      <c r="I56" s="11" t="n">
        <v>173.99</v>
      </c>
    </row>
    <row r="57">
      <c r="A57" s="9" t="inlineStr">
        <is>
          <t>CUST005</t>
        </is>
      </c>
      <c r="B57" s="9" t="inlineStr">
        <is>
          <t>Robert Anderson</t>
        </is>
      </c>
      <c r="C57" s="9" t="inlineStr">
        <is>
          <t>South</t>
        </is>
      </c>
      <c r="D57" s="9" t="inlineStr">
        <is>
          <t>Furniture</t>
        </is>
      </c>
      <c r="E57" s="11" t="n">
        <v>919.04</v>
      </c>
      <c r="F57" s="9" t="n">
        <v>10</v>
      </c>
      <c r="G57" s="12" t="n">
        <v>0.2</v>
      </c>
      <c r="H57" s="9" t="inlineStr">
        <is>
          <t>2024-06-25</t>
        </is>
      </c>
      <c r="I57" s="11" t="n">
        <v>257.33</v>
      </c>
    </row>
    <row r="58">
      <c r="A58" s="9" t="inlineStr">
        <is>
          <t>CUST030</t>
        </is>
      </c>
      <c r="B58" s="9" t="inlineStr">
        <is>
          <t>Emma Taylor</t>
        </is>
      </c>
      <c r="C58" s="9" t="inlineStr">
        <is>
          <t>Central</t>
        </is>
      </c>
      <c r="D58" s="9" t="inlineStr">
        <is>
          <t>Books</t>
        </is>
      </c>
      <c r="E58" s="11" t="n">
        <v>973.26</v>
      </c>
      <c r="F58" s="9" t="n">
        <v>11</v>
      </c>
      <c r="G58" s="12" t="n">
        <v>0</v>
      </c>
      <c r="H58" s="9" t="inlineStr">
        <is>
          <t>2024-06-27</t>
        </is>
      </c>
      <c r="I58" s="11" t="n">
        <v>389.3</v>
      </c>
    </row>
    <row r="59">
      <c r="A59" s="9" t="inlineStr">
        <is>
          <t>CUST029</t>
        </is>
      </c>
      <c r="B59" s="9" t="inlineStr">
        <is>
          <t>Sarah Davis</t>
        </is>
      </c>
      <c r="C59" s="9" t="inlineStr">
        <is>
          <t>North</t>
        </is>
      </c>
      <c r="D59" s="9" t="inlineStr">
        <is>
          <t>Electronics</t>
        </is>
      </c>
      <c r="E59" s="11" t="n">
        <v>741.61</v>
      </c>
      <c r="F59" s="9" t="n">
        <v>1</v>
      </c>
      <c r="G59" s="12" t="n">
        <v>0.2</v>
      </c>
      <c r="H59" s="9" t="inlineStr">
        <is>
          <t>2024-06-28</t>
        </is>
      </c>
      <c r="I59" s="11" t="n">
        <v>148.32</v>
      </c>
    </row>
    <row r="60">
      <c r="A60" s="9" t="inlineStr">
        <is>
          <t>CUST003</t>
        </is>
      </c>
      <c r="B60" s="9" t="inlineStr">
        <is>
          <t>Emma Davis</t>
        </is>
      </c>
      <c r="C60" s="9" t="inlineStr">
        <is>
          <t>North</t>
        </is>
      </c>
      <c r="D60" s="9" t="inlineStr">
        <is>
          <t>Books</t>
        </is>
      </c>
      <c r="E60" s="11" t="n">
        <v>1248.82</v>
      </c>
      <c r="F60" s="9" t="n">
        <v>2</v>
      </c>
      <c r="G60" s="12" t="n">
        <v>0.1</v>
      </c>
      <c r="H60" s="9" t="inlineStr">
        <is>
          <t>2024-06-30</t>
        </is>
      </c>
      <c r="I60" s="11" t="n">
        <v>449.58</v>
      </c>
    </row>
    <row r="61">
      <c r="A61" s="9" t="inlineStr">
        <is>
          <t>CUST012</t>
        </is>
      </c>
      <c r="B61" s="9" t="inlineStr">
        <is>
          <t>Mary Wilson</t>
        </is>
      </c>
      <c r="C61" s="9" t="inlineStr">
        <is>
          <t>West</t>
        </is>
      </c>
      <c r="D61" s="9" t="inlineStr">
        <is>
          <t>Clothing</t>
        </is>
      </c>
      <c r="E61" s="11" t="n">
        <v>1360.36</v>
      </c>
      <c r="F61" s="9" t="n">
        <v>17</v>
      </c>
      <c r="G61" s="12" t="n">
        <v>0</v>
      </c>
      <c r="H61" s="9" t="inlineStr">
        <is>
          <t>2024-06-30</t>
        </is>
      </c>
      <c r="I61" s="11" t="n">
        <v>680.1799999999999</v>
      </c>
    </row>
    <row r="62">
      <c r="A62" s="9" t="inlineStr">
        <is>
          <t>CUST021</t>
        </is>
      </c>
      <c r="B62" s="9" t="inlineStr">
        <is>
          <t>Mary Davis</t>
        </is>
      </c>
      <c r="C62" s="9" t="inlineStr">
        <is>
          <t>East</t>
        </is>
      </c>
      <c r="D62" s="9" t="inlineStr">
        <is>
          <t>Books</t>
        </is>
      </c>
      <c r="E62" s="11" t="n">
        <v>1383.3</v>
      </c>
      <c r="F62" s="9" t="n">
        <v>8</v>
      </c>
      <c r="G62" s="12" t="n">
        <v>0.1</v>
      </c>
      <c r="H62" s="9" t="inlineStr">
        <is>
          <t>2024-07-05</t>
        </is>
      </c>
      <c r="I62" s="11" t="n">
        <v>497.99</v>
      </c>
    </row>
    <row r="63">
      <c r="A63" s="9" t="inlineStr">
        <is>
          <t>CUST010</t>
        </is>
      </c>
      <c r="B63" s="9" t="inlineStr">
        <is>
          <t>David Brown</t>
        </is>
      </c>
      <c r="C63" s="9" t="inlineStr">
        <is>
          <t>Central</t>
        </is>
      </c>
      <c r="D63" s="9" t="inlineStr">
        <is>
          <t>Office Supplies</t>
        </is>
      </c>
      <c r="E63" s="11" t="n">
        <v>488.99</v>
      </c>
      <c r="F63" s="9" t="n">
        <v>9</v>
      </c>
      <c r="G63" s="12" t="n">
        <v>0</v>
      </c>
      <c r="H63" s="9" t="inlineStr">
        <is>
          <t>2024-07-06</t>
        </is>
      </c>
      <c r="I63" s="11" t="n">
        <v>220.05</v>
      </c>
    </row>
    <row r="64">
      <c r="A64" s="9" t="inlineStr">
        <is>
          <t>CUST026</t>
        </is>
      </c>
      <c r="B64" s="9" t="inlineStr">
        <is>
          <t>Mary Davis</t>
        </is>
      </c>
      <c r="C64" s="9" t="inlineStr">
        <is>
          <t>East</t>
        </is>
      </c>
      <c r="D64" s="9" t="inlineStr">
        <is>
          <t>Furniture</t>
        </is>
      </c>
      <c r="E64" s="11" t="n">
        <v>933.71</v>
      </c>
      <c r="F64" s="9" t="n">
        <v>17</v>
      </c>
      <c r="G64" s="12" t="n">
        <v>0.1</v>
      </c>
      <c r="H64" s="9" t="inlineStr">
        <is>
          <t>2024-07-08</t>
        </is>
      </c>
      <c r="I64" s="11" t="n">
        <v>294.12</v>
      </c>
    </row>
    <row r="65">
      <c r="A65" s="9" t="inlineStr">
        <is>
          <t>CUST003</t>
        </is>
      </c>
      <c r="B65" s="9" t="inlineStr">
        <is>
          <t>James Davis</t>
        </is>
      </c>
      <c r="C65" s="9" t="inlineStr">
        <is>
          <t>West</t>
        </is>
      </c>
      <c r="D65" s="9" t="inlineStr">
        <is>
          <t>Electronics</t>
        </is>
      </c>
      <c r="E65" s="11" t="n">
        <v>1005.53</v>
      </c>
      <c r="F65" s="9" t="n">
        <v>17</v>
      </c>
      <c r="G65" s="12" t="n">
        <v>0.2</v>
      </c>
      <c r="H65" s="9" t="inlineStr">
        <is>
          <t>2024-07-08</t>
        </is>
      </c>
      <c r="I65" s="11" t="n">
        <v>201.11</v>
      </c>
    </row>
    <row r="66">
      <c r="A66" s="9" t="inlineStr">
        <is>
          <t>CUST029</t>
        </is>
      </c>
      <c r="B66" s="9" t="inlineStr">
        <is>
          <t>Emma Wilson</t>
        </is>
      </c>
      <c r="C66" s="9" t="inlineStr">
        <is>
          <t>South</t>
        </is>
      </c>
      <c r="D66" s="9" t="inlineStr">
        <is>
          <t>Electronics</t>
        </is>
      </c>
      <c r="E66" s="11" t="n">
        <v>1100.1</v>
      </c>
      <c r="F66" s="9" t="n">
        <v>5</v>
      </c>
      <c r="G66" s="12" t="n">
        <v>0.05</v>
      </c>
      <c r="H66" s="9" t="inlineStr">
        <is>
          <t>2024-07-09</t>
        </is>
      </c>
      <c r="I66" s="11" t="n">
        <v>261.27</v>
      </c>
    </row>
    <row r="67">
      <c r="A67" s="9" t="inlineStr">
        <is>
          <t>CUST003</t>
        </is>
      </c>
      <c r="B67" s="9" t="inlineStr">
        <is>
          <t>James Wilson</t>
        </is>
      </c>
      <c r="C67" s="9" t="inlineStr">
        <is>
          <t>North</t>
        </is>
      </c>
      <c r="D67" s="9" t="inlineStr">
        <is>
          <t>Furniture</t>
        </is>
      </c>
      <c r="E67" s="11" t="n">
        <v>1034.7</v>
      </c>
      <c r="F67" s="9" t="n">
        <v>15</v>
      </c>
      <c r="G67" s="12" t="n">
        <v>0.15</v>
      </c>
      <c r="H67" s="9" t="inlineStr">
        <is>
          <t>2024-07-14</t>
        </is>
      </c>
      <c r="I67" s="11" t="n">
        <v>307.82</v>
      </c>
    </row>
    <row r="68">
      <c r="A68" s="9" t="inlineStr">
        <is>
          <t>CUST002</t>
        </is>
      </c>
      <c r="B68" s="9" t="inlineStr">
        <is>
          <t>Mary Davis</t>
        </is>
      </c>
      <c r="C68" s="9" t="inlineStr">
        <is>
          <t>South</t>
        </is>
      </c>
      <c r="D68" s="9" t="inlineStr">
        <is>
          <t>Books</t>
        </is>
      </c>
      <c r="E68" s="11" t="n">
        <v>876.4400000000001</v>
      </c>
      <c r="F68" s="9" t="n">
        <v>12</v>
      </c>
      <c r="G68" s="12" t="n">
        <v>0.05</v>
      </c>
      <c r="H68" s="9" t="inlineStr">
        <is>
          <t>2024-07-15</t>
        </is>
      </c>
      <c r="I68" s="11" t="n">
        <v>333.05</v>
      </c>
    </row>
    <row r="69">
      <c r="A69" s="9" t="inlineStr">
        <is>
          <t>CUST020</t>
        </is>
      </c>
      <c r="B69" s="9" t="inlineStr">
        <is>
          <t>David Brown</t>
        </is>
      </c>
      <c r="C69" s="9" t="inlineStr">
        <is>
          <t>West</t>
        </is>
      </c>
      <c r="D69" s="9" t="inlineStr">
        <is>
          <t>Furniture</t>
        </is>
      </c>
      <c r="E69" s="11" t="n">
        <v>1371.34</v>
      </c>
      <c r="F69" s="9" t="n">
        <v>5</v>
      </c>
      <c r="G69" s="12" t="n">
        <v>0.05</v>
      </c>
      <c r="H69" s="9" t="inlineStr">
        <is>
          <t>2024-07-15</t>
        </is>
      </c>
      <c r="I69" s="11" t="n">
        <v>455.97</v>
      </c>
    </row>
    <row r="70">
      <c r="A70" s="9" t="inlineStr">
        <is>
          <t>CUST021</t>
        </is>
      </c>
      <c r="B70" s="9" t="inlineStr">
        <is>
          <t>Mary Jackson</t>
        </is>
      </c>
      <c r="C70" s="9" t="inlineStr">
        <is>
          <t>North</t>
        </is>
      </c>
      <c r="D70" s="9" t="inlineStr">
        <is>
          <t>Electronics</t>
        </is>
      </c>
      <c r="E70" s="11" t="n">
        <v>1020.26</v>
      </c>
      <c r="F70" s="9" t="n">
        <v>11</v>
      </c>
      <c r="G70" s="12" t="n">
        <v>0.05</v>
      </c>
      <c r="H70" s="9" t="inlineStr">
        <is>
          <t>2024-07-21</t>
        </is>
      </c>
      <c r="I70" s="11" t="n">
        <v>242.31</v>
      </c>
    </row>
    <row r="71">
      <c r="A71" s="9" t="inlineStr">
        <is>
          <t>CUST008</t>
        </is>
      </c>
      <c r="B71" s="9" t="inlineStr">
        <is>
          <t>James Davis</t>
        </is>
      </c>
      <c r="C71" s="9" t="inlineStr">
        <is>
          <t>Central</t>
        </is>
      </c>
      <c r="D71" s="9" t="inlineStr">
        <is>
          <t>Office Supplies</t>
        </is>
      </c>
      <c r="E71" s="11" t="n">
        <v>804.8099999999999</v>
      </c>
      <c r="F71" s="9" t="n">
        <v>1</v>
      </c>
      <c r="G71" s="12" t="n">
        <v>0.05</v>
      </c>
      <c r="H71" s="9" t="inlineStr">
        <is>
          <t>2024-07-29</t>
        </is>
      </c>
      <c r="I71" s="11" t="n">
        <v>344.06</v>
      </c>
    </row>
    <row r="72">
      <c r="A72" s="9" t="inlineStr">
        <is>
          <t>CUST030</t>
        </is>
      </c>
      <c r="B72" s="9" t="inlineStr">
        <is>
          <t>David Brown</t>
        </is>
      </c>
      <c r="C72" s="9" t="inlineStr">
        <is>
          <t>Central</t>
        </is>
      </c>
      <c r="D72" s="9" t="inlineStr">
        <is>
          <t>Electronics</t>
        </is>
      </c>
      <c r="E72" s="11" t="n">
        <v>608.66</v>
      </c>
      <c r="F72" s="9" t="n">
        <v>1</v>
      </c>
      <c r="G72" s="12" t="n">
        <v>0.05</v>
      </c>
      <c r="H72" s="9" t="inlineStr">
        <is>
          <t>2024-07-30</t>
        </is>
      </c>
      <c r="I72" s="11" t="n">
        <v>144.56</v>
      </c>
    </row>
    <row r="73">
      <c r="A73" s="9" t="inlineStr">
        <is>
          <t>CUST020</t>
        </is>
      </c>
      <c r="B73" s="9" t="inlineStr">
        <is>
          <t>Linda Moore</t>
        </is>
      </c>
      <c r="C73" s="9" t="inlineStr">
        <is>
          <t>South</t>
        </is>
      </c>
      <c r="D73" s="9" t="inlineStr">
        <is>
          <t>Office Supplies</t>
        </is>
      </c>
      <c r="E73" s="11" t="n">
        <v>981.2</v>
      </c>
      <c r="F73" s="9" t="n">
        <v>19</v>
      </c>
      <c r="G73" s="12" t="n">
        <v>0</v>
      </c>
      <c r="H73" s="9" t="inlineStr">
        <is>
          <t>2024-07-31</t>
        </is>
      </c>
      <c r="I73" s="11" t="n">
        <v>441.54</v>
      </c>
    </row>
    <row r="74">
      <c r="A74" s="9" t="inlineStr">
        <is>
          <t>CUST024</t>
        </is>
      </c>
      <c r="B74" s="9" t="inlineStr">
        <is>
          <t>David Brown</t>
        </is>
      </c>
      <c r="C74" s="9" t="inlineStr">
        <is>
          <t>East</t>
        </is>
      </c>
      <c r="D74" s="9" t="inlineStr">
        <is>
          <t>Electronics</t>
        </is>
      </c>
      <c r="E74" s="11" t="n">
        <v>539.77</v>
      </c>
      <c r="F74" s="9" t="n">
        <v>10</v>
      </c>
      <c r="G74" s="12" t="n">
        <v>0.15</v>
      </c>
      <c r="H74" s="9" t="inlineStr">
        <is>
          <t>2024-08-05</t>
        </is>
      </c>
      <c r="I74" s="11" t="n">
        <v>114.7</v>
      </c>
    </row>
    <row r="75">
      <c r="A75" s="9" t="inlineStr">
        <is>
          <t>CUST012</t>
        </is>
      </c>
      <c r="B75" s="9" t="inlineStr">
        <is>
          <t>David Anderson</t>
        </is>
      </c>
      <c r="C75" s="9" t="inlineStr">
        <is>
          <t>South</t>
        </is>
      </c>
      <c r="D75" s="9" t="inlineStr">
        <is>
          <t>Books</t>
        </is>
      </c>
      <c r="E75" s="11" t="n">
        <v>804.45</v>
      </c>
      <c r="F75" s="9" t="n">
        <v>5</v>
      </c>
      <c r="G75" s="12" t="n">
        <v>0.2</v>
      </c>
      <c r="H75" s="9" t="inlineStr">
        <is>
          <t>2024-08-05</t>
        </is>
      </c>
      <c r="I75" s="11" t="n">
        <v>257.42</v>
      </c>
    </row>
    <row r="76">
      <c r="A76" s="9" t="inlineStr">
        <is>
          <t>CUST024</t>
        </is>
      </c>
      <c r="B76" s="9" t="inlineStr">
        <is>
          <t>Emma Davis</t>
        </is>
      </c>
      <c r="C76" s="9" t="inlineStr">
        <is>
          <t>West</t>
        </is>
      </c>
      <c r="D76" s="9" t="inlineStr">
        <is>
          <t>Electronics</t>
        </is>
      </c>
      <c r="E76" s="11" t="n">
        <v>1526.6</v>
      </c>
      <c r="F76" s="9" t="n">
        <v>13</v>
      </c>
      <c r="G76" s="12" t="n">
        <v>0.2</v>
      </c>
      <c r="H76" s="9" t="inlineStr">
        <is>
          <t>2024-08-08</t>
        </is>
      </c>
      <c r="I76" s="11" t="n">
        <v>305.32</v>
      </c>
    </row>
    <row r="77">
      <c r="A77" s="9" t="inlineStr">
        <is>
          <t>CUST012</t>
        </is>
      </c>
      <c r="B77" s="9" t="inlineStr">
        <is>
          <t>Linda Wilson</t>
        </is>
      </c>
      <c r="C77" s="9" t="inlineStr">
        <is>
          <t>West</t>
        </is>
      </c>
      <c r="D77" s="9" t="inlineStr">
        <is>
          <t>Electronics</t>
        </is>
      </c>
      <c r="E77" s="11" t="n">
        <v>1215.26</v>
      </c>
      <c r="F77" s="9" t="n">
        <v>5</v>
      </c>
      <c r="G77" s="12" t="n">
        <v>0.15</v>
      </c>
      <c r="H77" s="9" t="inlineStr">
        <is>
          <t>2024-08-09</t>
        </is>
      </c>
      <c r="I77" s="11" t="n">
        <v>258.24</v>
      </c>
    </row>
    <row r="78">
      <c r="A78" s="9" t="inlineStr">
        <is>
          <t>CUST005</t>
        </is>
      </c>
      <c r="B78" s="9" t="inlineStr">
        <is>
          <t>Linda Taylor</t>
        </is>
      </c>
      <c r="C78" s="9" t="inlineStr">
        <is>
          <t>Central</t>
        </is>
      </c>
      <c r="D78" s="9" t="inlineStr">
        <is>
          <t>Furniture</t>
        </is>
      </c>
      <c r="E78" s="11" t="n">
        <v>1261.34</v>
      </c>
      <c r="F78" s="9" t="n">
        <v>3</v>
      </c>
      <c r="G78" s="12" t="n">
        <v>0</v>
      </c>
      <c r="H78" s="9" t="inlineStr">
        <is>
          <t>2024-08-15</t>
        </is>
      </c>
      <c r="I78" s="11" t="n">
        <v>441.47</v>
      </c>
    </row>
    <row r="79">
      <c r="A79" s="9" t="inlineStr">
        <is>
          <t>CUST004</t>
        </is>
      </c>
      <c r="B79" s="9" t="inlineStr">
        <is>
          <t>Lisa Thomas</t>
        </is>
      </c>
      <c r="C79" s="9" t="inlineStr">
        <is>
          <t>North</t>
        </is>
      </c>
      <c r="D79" s="9" t="inlineStr">
        <is>
          <t>Furniture</t>
        </is>
      </c>
      <c r="E79" s="11" t="n">
        <v>518.0700000000001</v>
      </c>
      <c r="F79" s="9" t="n">
        <v>7</v>
      </c>
      <c r="G79" s="12" t="n">
        <v>0.05</v>
      </c>
      <c r="H79" s="9" t="inlineStr">
        <is>
          <t>2024-08-18</t>
        </is>
      </c>
      <c r="I79" s="11" t="n">
        <v>172.26</v>
      </c>
    </row>
    <row r="80">
      <c r="A80" s="9" t="inlineStr">
        <is>
          <t>CUST026</t>
        </is>
      </c>
      <c r="B80" s="9" t="inlineStr">
        <is>
          <t>Linda Wilson</t>
        </is>
      </c>
      <c r="C80" s="9" t="inlineStr">
        <is>
          <t>West</t>
        </is>
      </c>
      <c r="D80" s="9" t="inlineStr">
        <is>
          <t>Office Supplies</t>
        </is>
      </c>
      <c r="E80" s="11" t="n">
        <v>1111.34</v>
      </c>
      <c r="F80" s="9" t="n">
        <v>1</v>
      </c>
      <c r="G80" s="12" t="n">
        <v>0</v>
      </c>
      <c r="H80" s="9" t="inlineStr">
        <is>
          <t>2024-08-19</t>
        </is>
      </c>
      <c r="I80" s="11" t="n">
        <v>500.1</v>
      </c>
    </row>
    <row r="81">
      <c r="A81" s="9" t="inlineStr">
        <is>
          <t>CUST030</t>
        </is>
      </c>
      <c r="B81" s="9" t="inlineStr">
        <is>
          <t>Mary Davis</t>
        </is>
      </c>
      <c r="C81" s="9" t="inlineStr">
        <is>
          <t>East</t>
        </is>
      </c>
      <c r="D81" s="9" t="inlineStr">
        <is>
          <t>Clothing</t>
        </is>
      </c>
      <c r="E81" s="11" t="n">
        <v>1291.47</v>
      </c>
      <c r="F81" s="9" t="n">
        <v>18</v>
      </c>
      <c r="G81" s="12" t="n">
        <v>0.1</v>
      </c>
      <c r="H81" s="9" t="inlineStr">
        <is>
          <t>2024-08-22</t>
        </is>
      </c>
      <c r="I81" s="11" t="n">
        <v>581.16</v>
      </c>
    </row>
    <row r="82">
      <c r="A82" s="9" t="inlineStr">
        <is>
          <t>CUST007</t>
        </is>
      </c>
      <c r="B82" s="9" t="inlineStr">
        <is>
          <t>David Brown</t>
        </is>
      </c>
      <c r="C82" s="9" t="inlineStr">
        <is>
          <t>North</t>
        </is>
      </c>
      <c r="D82" s="9" t="inlineStr">
        <is>
          <t>Books</t>
        </is>
      </c>
      <c r="E82" s="11" t="n">
        <v>679.71</v>
      </c>
      <c r="F82" s="9" t="n">
        <v>19</v>
      </c>
      <c r="G82" s="12" t="n">
        <v>0</v>
      </c>
      <c r="H82" s="9" t="inlineStr">
        <is>
          <t>2024-08-30</t>
        </is>
      </c>
      <c r="I82" s="11" t="n">
        <v>271.88</v>
      </c>
    </row>
    <row r="83">
      <c r="A83" s="9" t="inlineStr">
        <is>
          <t>CUST020</t>
        </is>
      </c>
      <c r="B83" s="9" t="inlineStr">
        <is>
          <t>Linda Jackson</t>
        </is>
      </c>
      <c r="C83" s="9" t="inlineStr">
        <is>
          <t>East</t>
        </is>
      </c>
      <c r="D83" s="9" t="inlineStr">
        <is>
          <t>Furniture</t>
        </is>
      </c>
      <c r="E83" s="11" t="n">
        <v>1143.69</v>
      </c>
      <c r="F83" s="9" t="n">
        <v>17</v>
      </c>
      <c r="G83" s="12" t="n">
        <v>0</v>
      </c>
      <c r="H83" s="9" t="inlineStr">
        <is>
          <t>2024-08-30</t>
        </is>
      </c>
      <c r="I83" s="11" t="n">
        <v>400.29</v>
      </c>
    </row>
    <row r="84">
      <c r="A84" s="9" t="inlineStr">
        <is>
          <t>CUST028</t>
        </is>
      </c>
      <c r="B84" s="9" t="inlineStr">
        <is>
          <t>Linda Brown</t>
        </is>
      </c>
      <c r="C84" s="9" t="inlineStr">
        <is>
          <t>Central</t>
        </is>
      </c>
      <c r="D84" s="9" t="inlineStr">
        <is>
          <t>Electronics</t>
        </is>
      </c>
      <c r="E84" s="11" t="n">
        <v>790.08</v>
      </c>
      <c r="F84" s="9" t="n">
        <v>7</v>
      </c>
      <c r="G84" s="12" t="n">
        <v>0.1</v>
      </c>
      <c r="H84" s="9" t="inlineStr">
        <is>
          <t>2024-09-01</t>
        </is>
      </c>
      <c r="I84" s="11" t="n">
        <v>177.77</v>
      </c>
    </row>
    <row r="85">
      <c r="A85" s="9" t="inlineStr">
        <is>
          <t>CUST005</t>
        </is>
      </c>
      <c r="B85" s="9" t="inlineStr">
        <is>
          <t>Lisa Davis</t>
        </is>
      </c>
      <c r="C85" s="9" t="inlineStr">
        <is>
          <t>Central</t>
        </is>
      </c>
      <c r="D85" s="9" t="inlineStr">
        <is>
          <t>Books</t>
        </is>
      </c>
      <c r="E85" s="11" t="n">
        <v>1070.68</v>
      </c>
      <c r="F85" s="9" t="n">
        <v>7</v>
      </c>
      <c r="G85" s="12" t="n">
        <v>0.05</v>
      </c>
      <c r="H85" s="9" t="inlineStr">
        <is>
          <t>2024-09-01</t>
        </is>
      </c>
      <c r="I85" s="11" t="n">
        <v>406.86</v>
      </c>
    </row>
    <row r="86">
      <c r="A86" s="9" t="inlineStr">
        <is>
          <t>CUST015</t>
        </is>
      </c>
      <c r="B86" s="9" t="inlineStr">
        <is>
          <t>David Thomas</t>
        </is>
      </c>
      <c r="C86" s="9" t="inlineStr">
        <is>
          <t>West</t>
        </is>
      </c>
      <c r="D86" s="9" t="inlineStr">
        <is>
          <t>Clothing</t>
        </is>
      </c>
      <c r="E86" s="11" t="n">
        <v>1168.89</v>
      </c>
      <c r="F86" s="9" t="n">
        <v>4</v>
      </c>
      <c r="G86" s="12" t="n">
        <v>0.1</v>
      </c>
      <c r="H86" s="9" t="inlineStr">
        <is>
          <t>2024-09-09</t>
        </is>
      </c>
      <c r="I86" s="11" t="n">
        <v>526</v>
      </c>
    </row>
    <row r="87">
      <c r="A87" s="9" t="inlineStr">
        <is>
          <t>CUST003</t>
        </is>
      </c>
      <c r="B87" s="9" t="inlineStr">
        <is>
          <t>James Davis</t>
        </is>
      </c>
      <c r="C87" s="9" t="inlineStr">
        <is>
          <t>South</t>
        </is>
      </c>
      <c r="D87" s="9" t="inlineStr">
        <is>
          <t>Electronics</t>
        </is>
      </c>
      <c r="E87" s="11" t="n">
        <v>1335.87</v>
      </c>
      <c r="F87" s="9" t="n">
        <v>17</v>
      </c>
      <c r="G87" s="12" t="n">
        <v>0</v>
      </c>
      <c r="H87" s="9" t="inlineStr">
        <is>
          <t>2024-09-09</t>
        </is>
      </c>
      <c r="I87" s="11" t="n">
        <v>333.97</v>
      </c>
    </row>
    <row r="88">
      <c r="A88" s="9" t="inlineStr">
        <is>
          <t>CUST023</t>
        </is>
      </c>
      <c r="B88" s="9" t="inlineStr">
        <is>
          <t>David Brown</t>
        </is>
      </c>
      <c r="C88" s="9" t="inlineStr">
        <is>
          <t>East</t>
        </is>
      </c>
      <c r="D88" s="9" t="inlineStr">
        <is>
          <t>Furniture</t>
        </is>
      </c>
      <c r="E88" s="11" t="n">
        <v>873.7</v>
      </c>
      <c r="F88" s="9" t="n">
        <v>9</v>
      </c>
      <c r="G88" s="12" t="n">
        <v>0</v>
      </c>
      <c r="H88" s="9" t="inlineStr">
        <is>
          <t>2024-09-11</t>
        </is>
      </c>
      <c r="I88" s="11" t="n">
        <v>305.8</v>
      </c>
    </row>
    <row r="89">
      <c r="A89" s="9" t="inlineStr">
        <is>
          <t>CUST004</t>
        </is>
      </c>
      <c r="B89" s="9" t="inlineStr">
        <is>
          <t>Sarah Davis</t>
        </is>
      </c>
      <c r="C89" s="9" t="inlineStr">
        <is>
          <t>West</t>
        </is>
      </c>
      <c r="D89" s="9" t="inlineStr">
        <is>
          <t>Office Supplies</t>
        </is>
      </c>
      <c r="E89" s="11" t="n">
        <v>1443.98</v>
      </c>
      <c r="F89" s="9" t="n">
        <v>19</v>
      </c>
      <c r="G89" s="12" t="n">
        <v>0</v>
      </c>
      <c r="H89" s="9" t="inlineStr">
        <is>
          <t>2024-09-12</t>
        </is>
      </c>
      <c r="I89" s="11" t="n">
        <v>649.79</v>
      </c>
    </row>
    <row r="90">
      <c r="A90" s="9" t="inlineStr">
        <is>
          <t>CUST023</t>
        </is>
      </c>
      <c r="B90" s="9" t="inlineStr">
        <is>
          <t>James Wilson</t>
        </is>
      </c>
      <c r="C90" s="9" t="inlineStr">
        <is>
          <t>East</t>
        </is>
      </c>
      <c r="D90" s="9" t="inlineStr">
        <is>
          <t>Office Supplies</t>
        </is>
      </c>
      <c r="E90" s="11" t="n">
        <v>1154.33</v>
      </c>
      <c r="F90" s="9" t="n">
        <v>11</v>
      </c>
      <c r="G90" s="12" t="n">
        <v>0.15</v>
      </c>
      <c r="H90" s="9" t="inlineStr">
        <is>
          <t>2024-09-14</t>
        </is>
      </c>
      <c r="I90" s="11" t="n">
        <v>441.53</v>
      </c>
    </row>
    <row r="91">
      <c r="A91" s="9" t="inlineStr">
        <is>
          <t>CUST022</t>
        </is>
      </c>
      <c r="B91" s="9" t="inlineStr">
        <is>
          <t>Linda Brown</t>
        </is>
      </c>
      <c r="C91" s="9" t="inlineStr">
        <is>
          <t>South</t>
        </is>
      </c>
      <c r="D91" s="9" t="inlineStr">
        <is>
          <t>Books</t>
        </is>
      </c>
      <c r="E91" s="11" t="n">
        <v>1264.49</v>
      </c>
      <c r="F91" s="9" t="n">
        <v>16</v>
      </c>
      <c r="G91" s="12" t="n">
        <v>0.05</v>
      </c>
      <c r="H91" s="9" t="inlineStr">
        <is>
          <t>2024-09-14</t>
        </is>
      </c>
      <c r="I91" s="11" t="n">
        <v>480.51</v>
      </c>
    </row>
    <row r="92">
      <c r="A92" s="9" t="inlineStr">
        <is>
          <t>CUST007</t>
        </is>
      </c>
      <c r="B92" s="9" t="inlineStr">
        <is>
          <t>Emma Taylor</t>
        </is>
      </c>
      <c r="C92" s="9" t="inlineStr">
        <is>
          <t>West</t>
        </is>
      </c>
      <c r="D92" s="9" t="inlineStr">
        <is>
          <t>Furniture</t>
        </is>
      </c>
      <c r="E92" s="11" t="n">
        <v>1101.55</v>
      </c>
      <c r="F92" s="9" t="n">
        <v>4</v>
      </c>
      <c r="G92" s="12" t="n">
        <v>0.1</v>
      </c>
      <c r="H92" s="9" t="inlineStr">
        <is>
          <t>2024-09-16</t>
        </is>
      </c>
      <c r="I92" s="11" t="n">
        <v>346.99</v>
      </c>
    </row>
    <row r="93">
      <c r="A93" s="9" t="inlineStr">
        <is>
          <t>CUST013</t>
        </is>
      </c>
      <c r="B93" s="9" t="inlineStr">
        <is>
          <t>Robert Anderson</t>
        </is>
      </c>
      <c r="C93" s="9" t="inlineStr">
        <is>
          <t>South</t>
        </is>
      </c>
      <c r="D93" s="9" t="inlineStr">
        <is>
          <t>Furniture</t>
        </is>
      </c>
      <c r="E93" s="11" t="n">
        <v>727.73</v>
      </c>
      <c r="F93" s="9" t="n">
        <v>1</v>
      </c>
      <c r="G93" s="12" t="n">
        <v>0.1</v>
      </c>
      <c r="H93" s="9" t="inlineStr">
        <is>
          <t>2024-09-17</t>
        </is>
      </c>
      <c r="I93" s="11" t="n">
        <v>229.23</v>
      </c>
    </row>
    <row r="94">
      <c r="A94" s="9" t="inlineStr">
        <is>
          <t>CUST027</t>
        </is>
      </c>
      <c r="B94" s="9" t="inlineStr">
        <is>
          <t>Emma Davis</t>
        </is>
      </c>
      <c r="C94" s="9" t="inlineStr">
        <is>
          <t>East</t>
        </is>
      </c>
      <c r="D94" s="9" t="inlineStr">
        <is>
          <t>Office Supplies</t>
        </is>
      </c>
      <c r="E94" s="11" t="n">
        <v>875.41</v>
      </c>
      <c r="F94" s="9" t="n">
        <v>13</v>
      </c>
      <c r="G94" s="12" t="n">
        <v>0.15</v>
      </c>
      <c r="H94" s="9" t="inlineStr">
        <is>
          <t>2024-09-17</t>
        </is>
      </c>
      <c r="I94" s="11" t="n">
        <v>334.84</v>
      </c>
    </row>
    <row r="95">
      <c r="A95" s="9" t="inlineStr">
        <is>
          <t>CUST003</t>
        </is>
      </c>
      <c r="B95" s="9" t="inlineStr">
        <is>
          <t>James Wilson</t>
        </is>
      </c>
      <c r="C95" s="9" t="inlineStr">
        <is>
          <t>West</t>
        </is>
      </c>
      <c r="D95" s="9" t="inlineStr">
        <is>
          <t>Electronics</t>
        </is>
      </c>
      <c r="E95" s="11" t="n">
        <v>1158.94</v>
      </c>
      <c r="F95" s="9" t="n">
        <v>19</v>
      </c>
      <c r="G95" s="12" t="n">
        <v>0.2</v>
      </c>
      <c r="H95" s="9" t="inlineStr">
        <is>
          <t>2024-09-18</t>
        </is>
      </c>
      <c r="I95" s="11" t="n">
        <v>231.79</v>
      </c>
    </row>
    <row r="96">
      <c r="A96" s="9" t="inlineStr">
        <is>
          <t>CUST018</t>
        </is>
      </c>
      <c r="B96" s="9" t="inlineStr">
        <is>
          <t>Mary Jackson</t>
        </is>
      </c>
      <c r="C96" s="9" t="inlineStr">
        <is>
          <t>South</t>
        </is>
      </c>
      <c r="D96" s="9" t="inlineStr">
        <is>
          <t>Books</t>
        </is>
      </c>
      <c r="E96" s="11" t="n">
        <v>966.3</v>
      </c>
      <c r="F96" s="9" t="n">
        <v>2</v>
      </c>
      <c r="G96" s="12" t="n">
        <v>0.15</v>
      </c>
      <c r="H96" s="9" t="inlineStr">
        <is>
          <t>2024-09-22</t>
        </is>
      </c>
      <c r="I96" s="11" t="n">
        <v>328.54</v>
      </c>
    </row>
    <row r="97">
      <c r="A97" s="9" t="inlineStr">
        <is>
          <t>CUST020</t>
        </is>
      </c>
      <c r="B97" s="9" t="inlineStr">
        <is>
          <t>James Taylor</t>
        </is>
      </c>
      <c r="C97" s="9" t="inlineStr">
        <is>
          <t>South</t>
        </is>
      </c>
      <c r="D97" s="9" t="inlineStr">
        <is>
          <t>Books</t>
        </is>
      </c>
      <c r="E97" s="11" t="n">
        <v>917.48</v>
      </c>
      <c r="F97" s="9" t="n">
        <v>6</v>
      </c>
      <c r="G97" s="12" t="n">
        <v>0</v>
      </c>
      <c r="H97" s="9" t="inlineStr">
        <is>
          <t>2024-09-23</t>
        </is>
      </c>
      <c r="I97" s="11" t="n">
        <v>366.99</v>
      </c>
    </row>
    <row r="98">
      <c r="A98" s="9" t="inlineStr">
        <is>
          <t>CUST029</t>
        </is>
      </c>
      <c r="B98" s="9" t="inlineStr">
        <is>
          <t>Emma Wilson</t>
        </is>
      </c>
      <c r="C98" s="9" t="inlineStr">
        <is>
          <t>West</t>
        </is>
      </c>
      <c r="D98" s="9" t="inlineStr">
        <is>
          <t>Furniture</t>
        </is>
      </c>
      <c r="E98" s="11" t="n">
        <v>1172.97</v>
      </c>
      <c r="F98" s="9" t="n">
        <v>7</v>
      </c>
      <c r="G98" s="12" t="n">
        <v>0.15</v>
      </c>
      <c r="H98" s="9" t="inlineStr">
        <is>
          <t>2024-09-24</t>
        </is>
      </c>
      <c r="I98" s="11" t="n">
        <v>348.96</v>
      </c>
    </row>
    <row r="99">
      <c r="A99" s="9" t="inlineStr">
        <is>
          <t>CUST021</t>
        </is>
      </c>
      <c r="B99" s="9" t="inlineStr">
        <is>
          <t>James Wilson</t>
        </is>
      </c>
      <c r="C99" s="9" t="inlineStr">
        <is>
          <t>North</t>
        </is>
      </c>
      <c r="D99" s="9" t="inlineStr">
        <is>
          <t>Clothing</t>
        </is>
      </c>
      <c r="E99" s="11" t="n">
        <v>1205.82</v>
      </c>
      <c r="F99" s="9" t="n">
        <v>11</v>
      </c>
      <c r="G99" s="12" t="n">
        <v>0.1</v>
      </c>
      <c r="H99" s="9" t="inlineStr">
        <is>
          <t>2024-09-24</t>
        </is>
      </c>
      <c r="I99" s="11" t="n">
        <v>542.62</v>
      </c>
    </row>
    <row r="100">
      <c r="A100" s="9" t="inlineStr">
        <is>
          <t>CUST017</t>
        </is>
      </c>
      <c r="B100" s="9" t="inlineStr">
        <is>
          <t>Sarah Davis</t>
        </is>
      </c>
      <c r="C100" s="9" t="inlineStr">
        <is>
          <t>West</t>
        </is>
      </c>
      <c r="D100" s="9" t="inlineStr">
        <is>
          <t>Office Supplies</t>
        </is>
      </c>
      <c r="E100" s="11" t="n">
        <v>826.9299999999999</v>
      </c>
      <c r="F100" s="9" t="n">
        <v>10</v>
      </c>
      <c r="G100" s="12" t="n">
        <v>0.2</v>
      </c>
      <c r="H100" s="9" t="inlineStr">
        <is>
          <t>2024-09-29</t>
        </is>
      </c>
      <c r="I100" s="11" t="n">
        <v>297.69</v>
      </c>
    </row>
    <row r="101">
      <c r="A101" s="9" t="inlineStr">
        <is>
          <t>CUST003</t>
        </is>
      </c>
      <c r="B101" s="9" t="inlineStr">
        <is>
          <t>James Wilson</t>
        </is>
      </c>
      <c r="C101" s="9" t="inlineStr">
        <is>
          <t>Central</t>
        </is>
      </c>
      <c r="D101" s="9" t="inlineStr">
        <is>
          <t>Clothing</t>
        </is>
      </c>
      <c r="E101" s="11" t="n">
        <v>902.1900000000001</v>
      </c>
      <c r="F101" s="9" t="n">
        <v>12</v>
      </c>
      <c r="G101" s="12" t="n">
        <v>0</v>
      </c>
      <c r="H101" s="9" t="inlineStr">
        <is>
          <t>2024-09-29</t>
        </is>
      </c>
      <c r="I101" s="11" t="n">
        <v>451.1</v>
      </c>
    </row>
    <row r="102">
      <c r="A102" s="9" t="inlineStr">
        <is>
          <t>CUST027</t>
        </is>
      </c>
      <c r="B102" s="9" t="inlineStr">
        <is>
          <t>Emma Davis</t>
        </is>
      </c>
      <c r="C102" s="9" t="inlineStr">
        <is>
          <t>North</t>
        </is>
      </c>
      <c r="D102" s="9" t="inlineStr">
        <is>
          <t>Books</t>
        </is>
      </c>
      <c r="E102" s="11" t="n">
        <v>585.97</v>
      </c>
      <c r="F102" s="9" t="n">
        <v>17</v>
      </c>
      <c r="G102" s="12" t="n">
        <v>0.1</v>
      </c>
      <c r="H102" s="9" t="inlineStr">
        <is>
          <t>2024-09-30</t>
        </is>
      </c>
      <c r="I102" s="11" t="n">
        <v>210.95</v>
      </c>
    </row>
    <row r="103">
      <c r="A103" s="9" t="inlineStr">
        <is>
          <t>CUST016</t>
        </is>
      </c>
      <c r="B103" s="9" t="inlineStr">
        <is>
          <t>Michael Anderson</t>
        </is>
      </c>
      <c r="C103" s="9" t="inlineStr">
        <is>
          <t>North</t>
        </is>
      </c>
      <c r="D103" s="9" t="inlineStr">
        <is>
          <t>Clothing</t>
        </is>
      </c>
      <c r="E103" s="11" t="n">
        <v>990.1900000000001</v>
      </c>
      <c r="F103" s="9" t="n">
        <v>8</v>
      </c>
      <c r="G103" s="12" t="n">
        <v>0.1</v>
      </c>
      <c r="H103" s="9" t="inlineStr">
        <is>
          <t>2024-09-30</t>
        </is>
      </c>
      <c r="I103" s="11" t="n">
        <v>445.59</v>
      </c>
    </row>
    <row r="104">
      <c r="A104" s="9" t="inlineStr">
        <is>
          <t>CUST008</t>
        </is>
      </c>
      <c r="B104" s="9" t="inlineStr">
        <is>
          <t>David Davis</t>
        </is>
      </c>
      <c r="C104" s="9" t="inlineStr">
        <is>
          <t>Central</t>
        </is>
      </c>
      <c r="D104" s="9" t="inlineStr">
        <is>
          <t>Electronics</t>
        </is>
      </c>
      <c r="E104" s="11" t="n">
        <v>1014.09</v>
      </c>
      <c r="F104" s="9" t="n">
        <v>13</v>
      </c>
      <c r="G104" s="12" t="n">
        <v>0.2</v>
      </c>
      <c r="H104" s="9" t="inlineStr">
        <is>
          <t>2024-10-02</t>
        </is>
      </c>
      <c r="I104" s="11" t="n">
        <v>202.82</v>
      </c>
    </row>
    <row r="105">
      <c r="A105" s="9" t="inlineStr">
        <is>
          <t>CUST012</t>
        </is>
      </c>
      <c r="B105" s="9" t="inlineStr">
        <is>
          <t>Lisa Davis</t>
        </is>
      </c>
      <c r="C105" s="9" t="inlineStr">
        <is>
          <t>North</t>
        </is>
      </c>
      <c r="D105" s="9" t="inlineStr">
        <is>
          <t>Electronics</t>
        </is>
      </c>
      <c r="E105" s="11" t="n">
        <v>925.29</v>
      </c>
      <c r="F105" s="9" t="n">
        <v>17</v>
      </c>
      <c r="G105" s="12" t="n">
        <v>0</v>
      </c>
      <c r="H105" s="9" t="inlineStr">
        <is>
          <t>2024-10-05</t>
        </is>
      </c>
      <c r="I105" s="11" t="n">
        <v>231.32</v>
      </c>
    </row>
    <row r="106">
      <c r="A106" s="9" t="inlineStr">
        <is>
          <t>CUST025</t>
        </is>
      </c>
      <c r="B106" s="9" t="inlineStr">
        <is>
          <t>Mary Jackson</t>
        </is>
      </c>
      <c r="C106" s="9" t="inlineStr">
        <is>
          <t>East</t>
        </is>
      </c>
      <c r="D106" s="9" t="inlineStr">
        <is>
          <t>Furniture</t>
        </is>
      </c>
      <c r="E106" s="11" t="n">
        <v>1286.54</v>
      </c>
      <c r="F106" s="9" t="n">
        <v>8</v>
      </c>
      <c r="G106" s="12" t="n">
        <v>0</v>
      </c>
      <c r="H106" s="9" t="inlineStr">
        <is>
          <t>2024-10-10</t>
        </is>
      </c>
      <c r="I106" s="11" t="n">
        <v>450.29</v>
      </c>
    </row>
    <row r="107">
      <c r="A107" s="9" t="inlineStr">
        <is>
          <t>CUST014</t>
        </is>
      </c>
      <c r="B107" s="9" t="inlineStr">
        <is>
          <t>Sarah Davis</t>
        </is>
      </c>
      <c r="C107" s="9" t="inlineStr">
        <is>
          <t>South</t>
        </is>
      </c>
      <c r="D107" s="9" t="inlineStr">
        <is>
          <t>Books</t>
        </is>
      </c>
      <c r="E107" s="11" t="n">
        <v>961.62</v>
      </c>
      <c r="F107" s="9" t="n">
        <v>8</v>
      </c>
      <c r="G107" s="12" t="n">
        <v>0.2</v>
      </c>
      <c r="H107" s="9" t="inlineStr">
        <is>
          <t>2024-10-12</t>
        </is>
      </c>
      <c r="I107" s="11" t="n">
        <v>307.72</v>
      </c>
    </row>
    <row r="108">
      <c r="A108" s="9" t="inlineStr">
        <is>
          <t>CUST008</t>
        </is>
      </c>
      <c r="B108" s="9" t="inlineStr">
        <is>
          <t>James Wilson</t>
        </is>
      </c>
      <c r="C108" s="9" t="inlineStr">
        <is>
          <t>East</t>
        </is>
      </c>
      <c r="D108" s="9" t="inlineStr">
        <is>
          <t>Books</t>
        </is>
      </c>
      <c r="E108" s="11" t="n">
        <v>1081.14</v>
      </c>
      <c r="F108" s="9" t="n">
        <v>19</v>
      </c>
      <c r="G108" s="12" t="n">
        <v>0.15</v>
      </c>
      <c r="H108" s="9" t="inlineStr">
        <is>
          <t>2024-10-12</t>
        </is>
      </c>
      <c r="I108" s="11" t="n">
        <v>367.59</v>
      </c>
    </row>
    <row r="109">
      <c r="A109" s="9" t="inlineStr">
        <is>
          <t>CUST015</t>
        </is>
      </c>
      <c r="B109" s="9" t="inlineStr">
        <is>
          <t>James Wilson</t>
        </is>
      </c>
      <c r="C109" s="9" t="inlineStr">
        <is>
          <t>West</t>
        </is>
      </c>
      <c r="D109" s="9" t="inlineStr">
        <is>
          <t>Clothing</t>
        </is>
      </c>
      <c r="E109" s="11" t="n">
        <v>1923.66</v>
      </c>
      <c r="F109" s="9" t="n">
        <v>9</v>
      </c>
      <c r="G109" s="12" t="n">
        <v>0.2</v>
      </c>
      <c r="H109" s="9" t="inlineStr">
        <is>
          <t>2024-10-15</t>
        </is>
      </c>
      <c r="I109" s="11" t="n">
        <v>769.46</v>
      </c>
    </row>
    <row r="110">
      <c r="A110" s="9" t="inlineStr">
        <is>
          <t>CUST025</t>
        </is>
      </c>
      <c r="B110" s="9" t="inlineStr">
        <is>
          <t>Emma Taylor</t>
        </is>
      </c>
      <c r="C110" s="9" t="inlineStr">
        <is>
          <t>Central</t>
        </is>
      </c>
      <c r="D110" s="9" t="inlineStr">
        <is>
          <t>Clothing</t>
        </is>
      </c>
      <c r="E110" s="11" t="n">
        <v>728.71</v>
      </c>
      <c r="F110" s="9" t="n">
        <v>14</v>
      </c>
      <c r="G110" s="12" t="n">
        <v>0.1</v>
      </c>
      <c r="H110" s="9" t="inlineStr">
        <is>
          <t>2024-10-16</t>
        </is>
      </c>
      <c r="I110" s="11" t="n">
        <v>327.92</v>
      </c>
    </row>
    <row r="111">
      <c r="A111" s="9" t="inlineStr">
        <is>
          <t>CUST019</t>
        </is>
      </c>
      <c r="B111" s="9" t="inlineStr">
        <is>
          <t>Linda Jackson</t>
        </is>
      </c>
      <c r="C111" s="9" t="inlineStr">
        <is>
          <t>Central</t>
        </is>
      </c>
      <c r="D111" s="9" t="inlineStr">
        <is>
          <t>Clothing</t>
        </is>
      </c>
      <c r="E111" s="11" t="n">
        <v>1301.89</v>
      </c>
      <c r="F111" s="9" t="n">
        <v>7</v>
      </c>
      <c r="G111" s="12" t="n">
        <v>0.15</v>
      </c>
      <c r="H111" s="9" t="inlineStr">
        <is>
          <t>2024-10-16</t>
        </is>
      </c>
      <c r="I111" s="11" t="n">
        <v>553.3</v>
      </c>
    </row>
    <row r="112">
      <c r="A112" s="9" t="inlineStr">
        <is>
          <t>CUST024</t>
        </is>
      </c>
      <c r="B112" s="9" t="inlineStr">
        <is>
          <t>Emma Taylor</t>
        </is>
      </c>
      <c r="C112" s="9" t="inlineStr">
        <is>
          <t>East</t>
        </is>
      </c>
      <c r="D112" s="9" t="inlineStr">
        <is>
          <t>Books</t>
        </is>
      </c>
      <c r="E112" s="11" t="n">
        <v>980.1799999999999</v>
      </c>
      <c r="F112" s="9" t="n">
        <v>16</v>
      </c>
      <c r="G112" s="12" t="n">
        <v>0.1</v>
      </c>
      <c r="H112" s="9" t="inlineStr">
        <is>
          <t>2024-10-17</t>
        </is>
      </c>
      <c r="I112" s="11" t="n">
        <v>352.86</v>
      </c>
    </row>
    <row r="113">
      <c r="A113" s="9" t="inlineStr">
        <is>
          <t>CUST027</t>
        </is>
      </c>
      <c r="B113" s="9" t="inlineStr">
        <is>
          <t>James Wilson</t>
        </is>
      </c>
      <c r="C113" s="9" t="inlineStr">
        <is>
          <t>West</t>
        </is>
      </c>
      <c r="D113" s="9" t="inlineStr">
        <is>
          <t>Clothing</t>
        </is>
      </c>
      <c r="E113" s="11" t="n">
        <v>697.5700000000001</v>
      </c>
      <c r="F113" s="9" t="n">
        <v>17</v>
      </c>
      <c r="G113" s="12" t="n">
        <v>0.1</v>
      </c>
      <c r="H113" s="9" t="inlineStr">
        <is>
          <t>2024-10-19</t>
        </is>
      </c>
      <c r="I113" s="11" t="n">
        <v>313.91</v>
      </c>
    </row>
    <row r="114">
      <c r="A114" s="9" t="inlineStr">
        <is>
          <t>CUST006</t>
        </is>
      </c>
      <c r="B114" s="9" t="inlineStr">
        <is>
          <t>David Anderson</t>
        </is>
      </c>
      <c r="C114" s="9" t="inlineStr">
        <is>
          <t>West</t>
        </is>
      </c>
      <c r="D114" s="9" t="inlineStr">
        <is>
          <t>Furniture</t>
        </is>
      </c>
      <c r="E114" s="11" t="n">
        <v>1193.61</v>
      </c>
      <c r="F114" s="9" t="n">
        <v>1</v>
      </c>
      <c r="G114" s="12" t="n">
        <v>0.15</v>
      </c>
      <c r="H114" s="9" t="inlineStr">
        <is>
          <t>2024-10-19</t>
        </is>
      </c>
      <c r="I114" s="11" t="n">
        <v>355.1</v>
      </c>
    </row>
    <row r="115">
      <c r="A115" s="9" t="inlineStr">
        <is>
          <t>CUST009</t>
        </is>
      </c>
      <c r="B115" s="9" t="inlineStr">
        <is>
          <t>Emma Davis</t>
        </is>
      </c>
      <c r="C115" s="9" t="inlineStr">
        <is>
          <t>South</t>
        </is>
      </c>
      <c r="D115" s="9" t="inlineStr">
        <is>
          <t>Electronics</t>
        </is>
      </c>
      <c r="E115" s="11" t="n">
        <v>771.02</v>
      </c>
      <c r="F115" s="9" t="n">
        <v>1</v>
      </c>
      <c r="G115" s="12" t="n">
        <v>0</v>
      </c>
      <c r="H115" s="9" t="inlineStr">
        <is>
          <t>2024-10-20</t>
        </is>
      </c>
      <c r="I115" s="11" t="n">
        <v>192.76</v>
      </c>
    </row>
    <row r="116">
      <c r="A116" s="9" t="inlineStr">
        <is>
          <t>CUST003</t>
        </is>
      </c>
      <c r="B116" s="9" t="inlineStr">
        <is>
          <t>Linda Moore</t>
        </is>
      </c>
      <c r="C116" s="9" t="inlineStr">
        <is>
          <t>North</t>
        </is>
      </c>
      <c r="D116" s="9" t="inlineStr">
        <is>
          <t>Clothing</t>
        </is>
      </c>
      <c r="E116" s="11" t="n">
        <v>661.09</v>
      </c>
      <c r="F116" s="9" t="n">
        <v>1</v>
      </c>
      <c r="G116" s="12" t="n">
        <v>0.2</v>
      </c>
      <c r="H116" s="9" t="inlineStr">
        <is>
          <t>2024-10-28</t>
        </is>
      </c>
      <c r="I116" s="11" t="n">
        <v>264.44</v>
      </c>
    </row>
    <row r="117">
      <c r="A117" s="9" t="inlineStr">
        <is>
          <t>CUST012</t>
        </is>
      </c>
      <c r="B117" s="9" t="inlineStr">
        <is>
          <t>David Brown</t>
        </is>
      </c>
      <c r="C117" s="9" t="inlineStr">
        <is>
          <t>West</t>
        </is>
      </c>
      <c r="D117" s="9" t="inlineStr">
        <is>
          <t>Electronics</t>
        </is>
      </c>
      <c r="E117" s="11" t="n">
        <v>688.83</v>
      </c>
      <c r="F117" s="9" t="n">
        <v>15</v>
      </c>
      <c r="G117" s="12" t="n">
        <v>0</v>
      </c>
      <c r="H117" s="9" t="inlineStr">
        <is>
          <t>2024-10-30</t>
        </is>
      </c>
      <c r="I117" s="11" t="n">
        <v>172.21</v>
      </c>
    </row>
    <row r="118">
      <c r="A118" s="9" t="inlineStr">
        <is>
          <t>CUST013</t>
        </is>
      </c>
      <c r="B118" s="9" t="inlineStr">
        <is>
          <t>Linda Wilson</t>
        </is>
      </c>
      <c r="C118" s="9" t="inlineStr">
        <is>
          <t>Central</t>
        </is>
      </c>
      <c r="D118" s="9" t="inlineStr">
        <is>
          <t>Books</t>
        </is>
      </c>
      <c r="E118" s="11" t="n">
        <v>1249.1</v>
      </c>
      <c r="F118" s="9" t="n">
        <v>4</v>
      </c>
      <c r="G118" s="12" t="n">
        <v>0.05</v>
      </c>
      <c r="H118" s="9" t="inlineStr">
        <is>
          <t>2024-11-01</t>
        </is>
      </c>
      <c r="I118" s="11" t="n">
        <v>474.66</v>
      </c>
    </row>
    <row r="119">
      <c r="A119" s="9" t="inlineStr">
        <is>
          <t>CUST008</t>
        </is>
      </c>
      <c r="B119" s="9" t="inlineStr">
        <is>
          <t>James Wilson</t>
        </is>
      </c>
      <c r="C119" s="9" t="inlineStr">
        <is>
          <t>East</t>
        </is>
      </c>
      <c r="D119" s="9" t="inlineStr">
        <is>
          <t>Office Supplies</t>
        </is>
      </c>
      <c r="E119" s="11" t="n">
        <v>1014.22</v>
      </c>
      <c r="F119" s="9" t="n">
        <v>14</v>
      </c>
      <c r="G119" s="12" t="n">
        <v>0.05</v>
      </c>
      <c r="H119" s="9" t="inlineStr">
        <is>
          <t>2024-11-03</t>
        </is>
      </c>
      <c r="I119" s="11" t="n">
        <v>433.58</v>
      </c>
    </row>
    <row r="120">
      <c r="A120" s="9" t="inlineStr">
        <is>
          <t>CUST025</t>
        </is>
      </c>
      <c r="B120" s="9" t="inlineStr">
        <is>
          <t>Lisa Davis</t>
        </is>
      </c>
      <c r="C120" s="9" t="inlineStr">
        <is>
          <t>East</t>
        </is>
      </c>
      <c r="D120" s="9" t="inlineStr">
        <is>
          <t>Books</t>
        </is>
      </c>
      <c r="E120" s="11" t="n">
        <v>1010.58</v>
      </c>
      <c r="F120" s="9" t="n">
        <v>2</v>
      </c>
      <c r="G120" s="12" t="n">
        <v>0.15</v>
      </c>
      <c r="H120" s="9" t="inlineStr">
        <is>
          <t>2024-11-09</t>
        </is>
      </c>
      <c r="I120" s="11" t="n">
        <v>343.6</v>
      </c>
    </row>
    <row r="121">
      <c r="A121" s="9" t="inlineStr">
        <is>
          <t>CUST026</t>
        </is>
      </c>
      <c r="B121" s="9" t="inlineStr">
        <is>
          <t>Mary Wilson</t>
        </is>
      </c>
      <c r="C121" s="9" t="inlineStr">
        <is>
          <t>North</t>
        </is>
      </c>
      <c r="D121" s="9" t="inlineStr">
        <is>
          <t>Furniture</t>
        </is>
      </c>
      <c r="E121" s="11" t="n">
        <v>957.29</v>
      </c>
      <c r="F121" s="9" t="n">
        <v>4</v>
      </c>
      <c r="G121" s="12" t="n">
        <v>0.05</v>
      </c>
      <c r="H121" s="9" t="inlineStr">
        <is>
          <t>2024-11-09</t>
        </is>
      </c>
      <c r="I121" s="11" t="n">
        <v>318.3</v>
      </c>
    </row>
    <row r="122">
      <c r="A122" s="9" t="inlineStr">
        <is>
          <t>CUST001</t>
        </is>
      </c>
      <c r="B122" s="9" t="inlineStr">
        <is>
          <t>Lisa Thomas</t>
        </is>
      </c>
      <c r="C122" s="9" t="inlineStr">
        <is>
          <t>North</t>
        </is>
      </c>
      <c r="D122" s="9" t="inlineStr">
        <is>
          <t>Furniture</t>
        </is>
      </c>
      <c r="E122" s="11" t="n">
        <v>1077.92</v>
      </c>
      <c r="F122" s="9" t="n">
        <v>3</v>
      </c>
      <c r="G122" s="12" t="n">
        <v>0.05</v>
      </c>
      <c r="H122" s="9" t="inlineStr">
        <is>
          <t>2024-11-12</t>
        </is>
      </c>
      <c r="I122" s="11" t="n">
        <v>358.41</v>
      </c>
    </row>
    <row r="123">
      <c r="A123" s="9" t="inlineStr">
        <is>
          <t>CUST028</t>
        </is>
      </c>
      <c r="B123" s="9" t="inlineStr">
        <is>
          <t>Linda Brown</t>
        </is>
      </c>
      <c r="C123" s="9" t="inlineStr">
        <is>
          <t>South</t>
        </is>
      </c>
      <c r="D123" s="9" t="inlineStr">
        <is>
          <t>Clothing</t>
        </is>
      </c>
      <c r="E123" s="11" t="n">
        <v>1163.01</v>
      </c>
      <c r="F123" s="9" t="n">
        <v>5</v>
      </c>
      <c r="G123" s="12" t="n">
        <v>0</v>
      </c>
      <c r="H123" s="9" t="inlineStr">
        <is>
          <t>2024-11-15</t>
        </is>
      </c>
      <c r="I123" s="11" t="n">
        <v>581.5</v>
      </c>
    </row>
    <row r="124">
      <c r="A124" s="9" t="inlineStr">
        <is>
          <t>CUST025</t>
        </is>
      </c>
      <c r="B124" s="9" t="inlineStr">
        <is>
          <t>Lisa Thomas</t>
        </is>
      </c>
      <c r="C124" s="9" t="inlineStr">
        <is>
          <t>East</t>
        </is>
      </c>
      <c r="D124" s="9" t="inlineStr">
        <is>
          <t>Office Supplies</t>
        </is>
      </c>
      <c r="E124" s="11" t="n">
        <v>1014.56</v>
      </c>
      <c r="F124" s="9" t="n">
        <v>10</v>
      </c>
      <c r="G124" s="12" t="n">
        <v>0.1</v>
      </c>
      <c r="H124" s="9" t="inlineStr">
        <is>
          <t>2024-11-16</t>
        </is>
      </c>
      <c r="I124" s="11" t="n">
        <v>410.9</v>
      </c>
    </row>
    <row r="125">
      <c r="A125" s="9" t="inlineStr">
        <is>
          <t>CUST019</t>
        </is>
      </c>
      <c r="B125" s="9" t="inlineStr">
        <is>
          <t>James Taylor</t>
        </is>
      </c>
      <c r="C125" s="9" t="inlineStr">
        <is>
          <t>South</t>
        </is>
      </c>
      <c r="D125" s="9" t="inlineStr">
        <is>
          <t>Electronics</t>
        </is>
      </c>
      <c r="E125" s="11" t="n">
        <v>718.04</v>
      </c>
      <c r="F125" s="9" t="n">
        <v>14</v>
      </c>
      <c r="G125" s="12" t="n">
        <v>0</v>
      </c>
      <c r="H125" s="9" t="inlineStr">
        <is>
          <t>2024-11-17</t>
        </is>
      </c>
      <c r="I125" s="11" t="n">
        <v>179.51</v>
      </c>
    </row>
    <row r="126">
      <c r="A126" s="9" t="inlineStr">
        <is>
          <t>CUST004</t>
        </is>
      </c>
      <c r="B126" s="9" t="inlineStr">
        <is>
          <t>James Taylor</t>
        </is>
      </c>
      <c r="C126" s="9" t="inlineStr">
        <is>
          <t>Central</t>
        </is>
      </c>
      <c r="D126" s="9" t="inlineStr">
        <is>
          <t>Clothing</t>
        </is>
      </c>
      <c r="E126" s="11" t="n">
        <v>1277.85</v>
      </c>
      <c r="F126" s="9" t="n">
        <v>18</v>
      </c>
      <c r="G126" s="12" t="n">
        <v>0.2</v>
      </c>
      <c r="H126" s="9" t="inlineStr">
        <is>
          <t>2024-11-17</t>
        </is>
      </c>
      <c r="I126" s="11" t="n">
        <v>511.14</v>
      </c>
    </row>
    <row r="127">
      <c r="A127" s="9" t="inlineStr">
        <is>
          <t>CUST024</t>
        </is>
      </c>
      <c r="B127" s="9" t="inlineStr">
        <is>
          <t>James Wilson</t>
        </is>
      </c>
      <c r="C127" s="9" t="inlineStr">
        <is>
          <t>North</t>
        </is>
      </c>
      <c r="D127" s="9" t="inlineStr">
        <is>
          <t>Electronics</t>
        </is>
      </c>
      <c r="E127" s="11" t="n">
        <v>706.73</v>
      </c>
      <c r="F127" s="9" t="n">
        <v>1</v>
      </c>
      <c r="G127" s="12" t="n">
        <v>0.15</v>
      </c>
      <c r="H127" s="9" t="inlineStr">
        <is>
          <t>2024-11-17</t>
        </is>
      </c>
      <c r="I127" s="11" t="n">
        <v>150.18</v>
      </c>
    </row>
    <row r="128">
      <c r="A128" s="9" t="inlineStr">
        <is>
          <t>CUST002</t>
        </is>
      </c>
      <c r="B128" s="9" t="inlineStr">
        <is>
          <t>Linda Brown</t>
        </is>
      </c>
      <c r="C128" s="9" t="inlineStr">
        <is>
          <t>East</t>
        </is>
      </c>
      <c r="D128" s="9" t="inlineStr">
        <is>
          <t>Electronics</t>
        </is>
      </c>
      <c r="E128" s="11" t="n">
        <v>1410.59</v>
      </c>
      <c r="F128" s="9" t="n">
        <v>15</v>
      </c>
      <c r="G128" s="12" t="n">
        <v>0</v>
      </c>
      <c r="H128" s="9" t="inlineStr">
        <is>
          <t>2024-11-19</t>
        </is>
      </c>
      <c r="I128" s="11" t="n">
        <v>352.65</v>
      </c>
    </row>
    <row r="129">
      <c r="A129" s="9" t="inlineStr">
        <is>
          <t>CUST009</t>
        </is>
      </c>
      <c r="B129" s="9" t="inlineStr">
        <is>
          <t>Emma Wilson</t>
        </is>
      </c>
      <c r="C129" s="9" t="inlineStr">
        <is>
          <t>South</t>
        </is>
      </c>
      <c r="D129" s="9" t="inlineStr">
        <is>
          <t>Furniture</t>
        </is>
      </c>
      <c r="E129" s="11" t="n">
        <v>1350.33</v>
      </c>
      <c r="F129" s="9" t="n">
        <v>10</v>
      </c>
      <c r="G129" s="12" t="n">
        <v>0</v>
      </c>
      <c r="H129" s="9" t="inlineStr">
        <is>
          <t>2024-11-19</t>
        </is>
      </c>
      <c r="I129" s="11" t="n">
        <v>472.62</v>
      </c>
    </row>
    <row r="130">
      <c r="A130" s="9" t="inlineStr">
        <is>
          <t>CUST029</t>
        </is>
      </c>
      <c r="B130" s="9" t="inlineStr">
        <is>
          <t>Lisa Thomas</t>
        </is>
      </c>
      <c r="C130" s="9" t="inlineStr">
        <is>
          <t>East</t>
        </is>
      </c>
      <c r="D130" s="9" t="inlineStr">
        <is>
          <t>Electronics</t>
        </is>
      </c>
      <c r="E130" s="11" t="n">
        <v>919.1799999999999</v>
      </c>
      <c r="F130" s="9" t="n">
        <v>4</v>
      </c>
      <c r="G130" s="12" t="n">
        <v>0.15</v>
      </c>
      <c r="H130" s="9" t="inlineStr">
        <is>
          <t>2024-11-19</t>
        </is>
      </c>
      <c r="I130" s="11" t="n">
        <v>195.33</v>
      </c>
    </row>
    <row r="131">
      <c r="A131" s="9" t="inlineStr">
        <is>
          <t>CUST027</t>
        </is>
      </c>
      <c r="B131" s="9" t="inlineStr">
        <is>
          <t>James Wilson</t>
        </is>
      </c>
      <c r="C131" s="9" t="inlineStr">
        <is>
          <t>West</t>
        </is>
      </c>
      <c r="D131" s="9" t="inlineStr">
        <is>
          <t>Electronics</t>
        </is>
      </c>
      <c r="E131" s="11" t="n">
        <v>258.51</v>
      </c>
      <c r="F131" s="9" t="n">
        <v>19</v>
      </c>
      <c r="G131" s="12" t="n">
        <v>0</v>
      </c>
      <c r="H131" s="9" t="inlineStr">
        <is>
          <t>2024-11-20</t>
        </is>
      </c>
      <c r="I131" s="11" t="n">
        <v>64.63</v>
      </c>
    </row>
    <row r="132">
      <c r="A132" s="9" t="inlineStr">
        <is>
          <t>CUST011</t>
        </is>
      </c>
      <c r="B132" s="9" t="inlineStr">
        <is>
          <t>Emma Wilson</t>
        </is>
      </c>
      <c r="C132" s="9" t="inlineStr">
        <is>
          <t>East</t>
        </is>
      </c>
      <c r="D132" s="9" t="inlineStr">
        <is>
          <t>Books</t>
        </is>
      </c>
      <c r="E132" s="11" t="n">
        <v>1213.48</v>
      </c>
      <c r="F132" s="9" t="n">
        <v>5</v>
      </c>
      <c r="G132" s="12" t="n">
        <v>0.05</v>
      </c>
      <c r="H132" s="9" t="inlineStr">
        <is>
          <t>2024-11-20</t>
        </is>
      </c>
      <c r="I132" s="11" t="n">
        <v>461.12</v>
      </c>
    </row>
    <row r="133">
      <c r="A133" s="9" t="inlineStr">
        <is>
          <t>CUST021</t>
        </is>
      </c>
      <c r="B133" s="9" t="inlineStr">
        <is>
          <t>Emma Davis</t>
        </is>
      </c>
      <c r="C133" s="9" t="inlineStr">
        <is>
          <t>Central</t>
        </is>
      </c>
      <c r="D133" s="9" t="inlineStr">
        <is>
          <t>Books</t>
        </is>
      </c>
      <c r="E133" s="11" t="n">
        <v>1150.28</v>
      </c>
      <c r="F133" s="9" t="n">
        <v>8</v>
      </c>
      <c r="G133" s="12" t="n">
        <v>0.05</v>
      </c>
      <c r="H133" s="9" t="inlineStr">
        <is>
          <t>2024-11-26</t>
        </is>
      </c>
      <c r="I133" s="11" t="n">
        <v>437.11</v>
      </c>
    </row>
    <row r="134">
      <c r="A134" s="9" t="inlineStr">
        <is>
          <t>CUST014</t>
        </is>
      </c>
      <c r="B134" s="9" t="inlineStr">
        <is>
          <t>David Anderson</t>
        </is>
      </c>
      <c r="C134" s="9" t="inlineStr">
        <is>
          <t>South</t>
        </is>
      </c>
      <c r="D134" s="9" t="inlineStr">
        <is>
          <t>Furniture</t>
        </is>
      </c>
      <c r="E134" s="11" t="n">
        <v>853.86</v>
      </c>
      <c r="F134" s="9" t="n">
        <v>8</v>
      </c>
      <c r="G134" s="12" t="n">
        <v>0.1</v>
      </c>
      <c r="H134" s="9" t="inlineStr">
        <is>
          <t>2024-11-26</t>
        </is>
      </c>
      <c r="I134" s="11" t="n">
        <v>268.97</v>
      </c>
    </row>
    <row r="135">
      <c r="A135" s="9" t="inlineStr">
        <is>
          <t>CUST018</t>
        </is>
      </c>
      <c r="B135" s="9" t="inlineStr">
        <is>
          <t>Lisa Thomas</t>
        </is>
      </c>
      <c r="C135" s="9" t="inlineStr">
        <is>
          <t>South</t>
        </is>
      </c>
      <c r="D135" s="9" t="inlineStr">
        <is>
          <t>Electronics</t>
        </is>
      </c>
      <c r="E135" s="11" t="n">
        <v>1061.04</v>
      </c>
      <c r="F135" s="9" t="n">
        <v>1</v>
      </c>
      <c r="G135" s="12" t="n">
        <v>0</v>
      </c>
      <c r="H135" s="9" t="inlineStr">
        <is>
          <t>2024-11-28</t>
        </is>
      </c>
      <c r="I135" s="11" t="n">
        <v>265.26</v>
      </c>
    </row>
    <row r="136">
      <c r="A136" s="9" t="inlineStr">
        <is>
          <t>CUST001</t>
        </is>
      </c>
      <c r="B136" s="9" t="inlineStr">
        <is>
          <t>Sarah Anderson</t>
        </is>
      </c>
      <c r="C136" s="9" t="inlineStr">
        <is>
          <t>West</t>
        </is>
      </c>
      <c r="D136" s="9" t="inlineStr">
        <is>
          <t>Electronics</t>
        </is>
      </c>
      <c r="E136" s="11" t="n">
        <v>894.55</v>
      </c>
      <c r="F136" s="9" t="n">
        <v>19</v>
      </c>
      <c r="G136" s="12" t="n">
        <v>0.2</v>
      </c>
      <c r="H136" s="9" t="inlineStr">
        <is>
          <t>2024-11-29</t>
        </is>
      </c>
      <c r="I136" s="11" t="n">
        <v>178.91</v>
      </c>
    </row>
    <row r="137">
      <c r="A137" s="9" t="inlineStr">
        <is>
          <t>CUST007</t>
        </is>
      </c>
      <c r="B137" s="9" t="inlineStr">
        <is>
          <t>Emma Davis</t>
        </is>
      </c>
      <c r="C137" s="9" t="inlineStr">
        <is>
          <t>North</t>
        </is>
      </c>
      <c r="D137" s="9" t="inlineStr">
        <is>
          <t>Office Supplies</t>
        </is>
      </c>
      <c r="E137" s="11" t="n">
        <v>833.91</v>
      </c>
      <c r="F137" s="9" t="n">
        <v>3</v>
      </c>
      <c r="G137" s="12" t="n">
        <v>0.05</v>
      </c>
      <c r="H137" s="9" t="inlineStr">
        <is>
          <t>2024-11-30</t>
        </is>
      </c>
      <c r="I137" s="11" t="n">
        <v>356.5</v>
      </c>
    </row>
    <row r="138">
      <c r="A138" s="9" t="inlineStr">
        <is>
          <t>CUST015</t>
        </is>
      </c>
      <c r="B138" s="9" t="inlineStr">
        <is>
          <t>David Anderson</t>
        </is>
      </c>
      <c r="C138" s="9" t="inlineStr">
        <is>
          <t>West</t>
        </is>
      </c>
      <c r="D138" s="9" t="inlineStr">
        <is>
          <t>Furniture</t>
        </is>
      </c>
      <c r="E138" s="11" t="n">
        <v>820.1900000000001</v>
      </c>
      <c r="F138" s="9" t="n">
        <v>4</v>
      </c>
      <c r="G138" s="12" t="n">
        <v>0.2</v>
      </c>
      <c r="H138" s="9" t="inlineStr">
        <is>
          <t>2024-12-04</t>
        </is>
      </c>
      <c r="I138" s="11" t="n">
        <v>229.65</v>
      </c>
    </row>
    <row r="139">
      <c r="A139" s="9" t="inlineStr">
        <is>
          <t>CUST015</t>
        </is>
      </c>
      <c r="B139" s="9" t="inlineStr">
        <is>
          <t>Emma Davis</t>
        </is>
      </c>
      <c r="C139" s="9" t="inlineStr">
        <is>
          <t>Central</t>
        </is>
      </c>
      <c r="D139" s="9" t="inlineStr">
        <is>
          <t>Electronics</t>
        </is>
      </c>
      <c r="E139" s="11" t="n">
        <v>511.74</v>
      </c>
      <c r="F139" s="9" t="n">
        <v>8</v>
      </c>
      <c r="G139" s="12" t="n">
        <v>0.05</v>
      </c>
      <c r="H139" s="9" t="inlineStr">
        <is>
          <t>2024-12-05</t>
        </is>
      </c>
      <c r="I139" s="11" t="n">
        <v>121.54</v>
      </c>
    </row>
    <row r="140">
      <c r="A140" s="9" t="inlineStr">
        <is>
          <t>CUST002</t>
        </is>
      </c>
      <c r="B140" s="9" t="inlineStr">
        <is>
          <t>Emma Wilson</t>
        </is>
      </c>
      <c r="C140" s="9" t="inlineStr">
        <is>
          <t>South</t>
        </is>
      </c>
      <c r="D140" s="9" t="inlineStr">
        <is>
          <t>Furniture</t>
        </is>
      </c>
      <c r="E140" s="11" t="n">
        <v>806.03</v>
      </c>
      <c r="F140" s="9" t="n">
        <v>19</v>
      </c>
      <c r="G140" s="12" t="n">
        <v>0.05</v>
      </c>
      <c r="H140" s="9" t="inlineStr">
        <is>
          <t>2024-12-12</t>
        </is>
      </c>
      <c r="I140" s="11" t="n">
        <v>268</v>
      </c>
    </row>
    <row r="141">
      <c r="A141" s="9" t="inlineStr">
        <is>
          <t>CUST001</t>
        </is>
      </c>
      <c r="B141" s="9" t="inlineStr">
        <is>
          <t>Michael Anderson</t>
        </is>
      </c>
      <c r="C141" s="9" t="inlineStr">
        <is>
          <t>Central</t>
        </is>
      </c>
      <c r="D141" s="9" t="inlineStr">
        <is>
          <t>Furniture</t>
        </is>
      </c>
      <c r="E141" s="11" t="n">
        <v>1432.47</v>
      </c>
      <c r="F141" s="9" t="n">
        <v>16</v>
      </c>
      <c r="G141" s="12" t="n">
        <v>0.15</v>
      </c>
      <c r="H141" s="9" t="inlineStr">
        <is>
          <t>2024-12-14</t>
        </is>
      </c>
      <c r="I141" s="11" t="n">
        <v>426.16</v>
      </c>
    </row>
    <row r="142">
      <c r="A142" s="9" t="inlineStr">
        <is>
          <t>CUST027</t>
        </is>
      </c>
      <c r="B142" s="9" t="inlineStr">
        <is>
          <t>Linda Wilson</t>
        </is>
      </c>
      <c r="C142" s="9" t="inlineStr">
        <is>
          <t>Central</t>
        </is>
      </c>
      <c r="D142" s="9" t="inlineStr">
        <is>
          <t>Electronics</t>
        </is>
      </c>
      <c r="E142" s="11" t="n">
        <v>1488.58</v>
      </c>
      <c r="F142" s="9" t="n">
        <v>10</v>
      </c>
      <c r="G142" s="12" t="n">
        <v>0.15</v>
      </c>
      <c r="H142" s="9" t="inlineStr">
        <is>
          <t>2024-12-14</t>
        </is>
      </c>
      <c r="I142" s="11" t="n">
        <v>316.32</v>
      </c>
    </row>
    <row r="143">
      <c r="A143" s="9" t="inlineStr">
        <is>
          <t>CUST026</t>
        </is>
      </c>
      <c r="B143" s="9" t="inlineStr">
        <is>
          <t>Emma Taylor</t>
        </is>
      </c>
      <c r="C143" s="9" t="inlineStr">
        <is>
          <t>East</t>
        </is>
      </c>
      <c r="D143" s="9" t="inlineStr">
        <is>
          <t>Books</t>
        </is>
      </c>
      <c r="E143" s="11" t="n">
        <v>1231.26</v>
      </c>
      <c r="F143" s="9" t="n">
        <v>9</v>
      </c>
      <c r="G143" s="12" t="n">
        <v>0</v>
      </c>
      <c r="H143" s="9" t="inlineStr">
        <is>
          <t>2024-12-20</t>
        </is>
      </c>
      <c r="I143" s="11" t="n">
        <v>492.5</v>
      </c>
    </row>
    <row r="144">
      <c r="A144" s="9" t="inlineStr">
        <is>
          <t>CUST026</t>
        </is>
      </c>
      <c r="B144" s="9" t="inlineStr">
        <is>
          <t>Sarah Anderson</t>
        </is>
      </c>
      <c r="C144" s="9" t="inlineStr">
        <is>
          <t>West</t>
        </is>
      </c>
      <c r="D144" s="9" t="inlineStr">
        <is>
          <t>Electronics</t>
        </is>
      </c>
      <c r="E144" s="11" t="n">
        <v>1161.67</v>
      </c>
      <c r="F144" s="9" t="n">
        <v>19</v>
      </c>
      <c r="G144" s="12" t="n">
        <v>0.2</v>
      </c>
      <c r="H144" s="9" t="inlineStr">
        <is>
          <t>2024-12-21</t>
        </is>
      </c>
      <c r="I144" s="11" t="n">
        <v>232.33</v>
      </c>
    </row>
    <row r="145">
      <c r="A145" s="9" t="inlineStr">
        <is>
          <t>CUST022</t>
        </is>
      </c>
      <c r="B145" s="9" t="inlineStr">
        <is>
          <t>Lisa Thomas</t>
        </is>
      </c>
      <c r="C145" s="9" t="inlineStr">
        <is>
          <t>Central</t>
        </is>
      </c>
      <c r="D145" s="9" t="inlineStr">
        <is>
          <t>Office Supplies</t>
        </is>
      </c>
      <c r="E145" s="11" t="n">
        <v>388.23</v>
      </c>
      <c r="F145" s="9" t="n">
        <v>16</v>
      </c>
      <c r="G145" s="12" t="n">
        <v>0.05</v>
      </c>
      <c r="H145" s="9" t="inlineStr">
        <is>
          <t>2024-12-24</t>
        </is>
      </c>
      <c r="I145" s="11" t="n">
        <v>165.97</v>
      </c>
    </row>
    <row r="146">
      <c r="A146" s="9" t="inlineStr">
        <is>
          <t>CUST004</t>
        </is>
      </c>
      <c r="B146" s="9" t="inlineStr">
        <is>
          <t>Mary Davis</t>
        </is>
      </c>
      <c r="C146" s="9" t="inlineStr">
        <is>
          <t>North</t>
        </is>
      </c>
      <c r="D146" s="9" t="inlineStr">
        <is>
          <t>Clothing</t>
        </is>
      </c>
      <c r="E146" s="11" t="n">
        <v>1589.42</v>
      </c>
      <c r="F146" s="9" t="n">
        <v>6</v>
      </c>
      <c r="G146" s="12" t="n">
        <v>0.15</v>
      </c>
      <c r="H146" s="9" t="inlineStr">
        <is>
          <t>2024-12-25</t>
        </is>
      </c>
      <c r="I146" s="11" t="n">
        <v>675.5</v>
      </c>
    </row>
    <row r="147">
      <c r="A147" s="9" t="inlineStr">
        <is>
          <t>CUST001</t>
        </is>
      </c>
      <c r="B147" s="9" t="inlineStr">
        <is>
          <t>David Anderson</t>
        </is>
      </c>
      <c r="C147" s="9" t="inlineStr">
        <is>
          <t>North</t>
        </is>
      </c>
      <c r="D147" s="9" t="inlineStr">
        <is>
          <t>Clothing</t>
        </is>
      </c>
      <c r="E147" s="11" t="n">
        <v>336.66</v>
      </c>
      <c r="F147" s="9" t="n">
        <v>13</v>
      </c>
      <c r="G147" s="12" t="n">
        <v>0.2</v>
      </c>
      <c r="H147" s="9" t="inlineStr">
        <is>
          <t>2024-12-25</t>
        </is>
      </c>
      <c r="I147" s="11" t="n">
        <v>134.66</v>
      </c>
    </row>
    <row r="148">
      <c r="A148" s="9" t="inlineStr">
        <is>
          <t>CUST022</t>
        </is>
      </c>
      <c r="B148" s="9" t="inlineStr">
        <is>
          <t>James Wilson</t>
        </is>
      </c>
      <c r="C148" s="9" t="inlineStr">
        <is>
          <t>West</t>
        </is>
      </c>
      <c r="D148" s="9" t="inlineStr">
        <is>
          <t>Books</t>
        </is>
      </c>
      <c r="E148" s="11" t="n">
        <v>1353.79</v>
      </c>
      <c r="F148" s="9" t="n">
        <v>14</v>
      </c>
      <c r="G148" s="12" t="n">
        <v>0.1</v>
      </c>
      <c r="H148" s="9" t="inlineStr">
        <is>
          <t>2024-12-30</t>
        </is>
      </c>
      <c r="I148" s="11" t="n">
        <v>487.36</v>
      </c>
    </row>
    <row r="149">
      <c r="A149" s="9" t="inlineStr">
        <is>
          <t>CUST011</t>
        </is>
      </c>
      <c r="B149" s="9" t="inlineStr">
        <is>
          <t>Linda Moore</t>
        </is>
      </c>
      <c r="C149" s="9" t="inlineStr">
        <is>
          <t>Central</t>
        </is>
      </c>
      <c r="D149" s="9" t="inlineStr">
        <is>
          <t>Clothing</t>
        </is>
      </c>
      <c r="E149" s="11" t="n">
        <v>662.61</v>
      </c>
      <c r="F149" s="9" t="n">
        <v>11</v>
      </c>
      <c r="G149" s="12" t="n">
        <v>0.05</v>
      </c>
      <c r="H149" s="9" t="inlineStr">
        <is>
          <t>2025-01-01</t>
        </is>
      </c>
      <c r="I149" s="11" t="n">
        <v>314.74</v>
      </c>
    </row>
    <row r="150">
      <c r="A150" s="9" t="inlineStr">
        <is>
          <t>CUST028</t>
        </is>
      </c>
      <c r="B150" s="9" t="inlineStr">
        <is>
          <t>Lisa Davis</t>
        </is>
      </c>
      <c r="C150" s="9" t="inlineStr">
        <is>
          <t>North</t>
        </is>
      </c>
      <c r="D150" s="9" t="inlineStr">
        <is>
          <t>Office Supplies</t>
        </is>
      </c>
      <c r="E150" s="11" t="n">
        <v>309.42</v>
      </c>
      <c r="F150" s="9" t="n">
        <v>1</v>
      </c>
      <c r="G150" s="12" t="n">
        <v>0.2</v>
      </c>
      <c r="H150" s="9" t="inlineStr">
        <is>
          <t>2025-01-01</t>
        </is>
      </c>
      <c r="I150" s="11" t="n">
        <v>111.39</v>
      </c>
    </row>
    <row r="151">
      <c r="A151" s="9" t="inlineStr">
        <is>
          <t>CUST011</t>
        </is>
      </c>
      <c r="B151" s="9" t="inlineStr">
        <is>
          <t>Linda Wilson</t>
        </is>
      </c>
      <c r="C151" s="9" t="inlineStr">
        <is>
          <t>North</t>
        </is>
      </c>
      <c r="D151" s="9" t="inlineStr">
        <is>
          <t>Books</t>
        </is>
      </c>
      <c r="E151" s="11" t="n">
        <v>884.63</v>
      </c>
      <c r="F151" s="9" t="n">
        <v>18</v>
      </c>
      <c r="G151" s="12" t="n">
        <v>0.1</v>
      </c>
      <c r="H151" s="9" t="inlineStr">
        <is>
          <t>2025-01-02</t>
        </is>
      </c>
      <c r="I151" s="11" t="n">
        <v>318.47</v>
      </c>
    </row>
    <row r="152">
      <c r="A152" s="9" t="inlineStr">
        <is>
          <t>CUST028</t>
        </is>
      </c>
      <c r="B152" s="9" t="inlineStr">
        <is>
          <t>James Wilson</t>
        </is>
      </c>
      <c r="C152" s="9" t="inlineStr">
        <is>
          <t>Central</t>
        </is>
      </c>
      <c r="D152" s="9" t="inlineStr">
        <is>
          <t>Office Supplies</t>
        </is>
      </c>
      <c r="E152" s="11" t="n">
        <v>745.05</v>
      </c>
      <c r="F152" s="9" t="n">
        <v>10</v>
      </c>
      <c r="G152" s="12" t="n">
        <v>0.1</v>
      </c>
      <c r="H152" s="9" t="inlineStr">
        <is>
          <t>2025-01-03</t>
        </is>
      </c>
      <c r="I152" s="11" t="n">
        <v>301.75</v>
      </c>
    </row>
    <row r="153">
      <c r="A153" s="9" t="inlineStr">
        <is>
          <t>CUST016</t>
        </is>
      </c>
      <c r="B153" s="9" t="inlineStr">
        <is>
          <t>James Taylor</t>
        </is>
      </c>
      <c r="C153" s="9" t="inlineStr">
        <is>
          <t>South</t>
        </is>
      </c>
      <c r="D153" s="9" t="inlineStr">
        <is>
          <t>Clothing</t>
        </is>
      </c>
      <c r="E153" s="11" t="n">
        <v>870.23</v>
      </c>
      <c r="F153" s="9" t="n">
        <v>5</v>
      </c>
      <c r="G153" s="12" t="n">
        <v>0.05</v>
      </c>
      <c r="H153" s="9" t="inlineStr">
        <is>
          <t>2025-01-03</t>
        </is>
      </c>
      <c r="I153" s="11" t="n">
        <v>413.36</v>
      </c>
    </row>
    <row r="154">
      <c r="A154" s="9" t="inlineStr">
        <is>
          <t>CUST010</t>
        </is>
      </c>
      <c r="B154" s="9" t="inlineStr">
        <is>
          <t>Linda Wilson</t>
        </is>
      </c>
      <c r="C154" s="9" t="inlineStr">
        <is>
          <t>West</t>
        </is>
      </c>
      <c r="D154" s="9" t="inlineStr">
        <is>
          <t>Furniture</t>
        </is>
      </c>
      <c r="E154" s="11" t="n">
        <v>862.1900000000001</v>
      </c>
      <c r="F154" s="9" t="n">
        <v>18</v>
      </c>
      <c r="G154" s="12" t="n">
        <v>0.05</v>
      </c>
      <c r="H154" s="9" t="inlineStr">
        <is>
          <t>2025-01-06</t>
        </is>
      </c>
      <c r="I154" s="11" t="n">
        <v>286.68</v>
      </c>
    </row>
    <row r="155">
      <c r="A155" s="9" t="inlineStr">
        <is>
          <t>CUST013</t>
        </is>
      </c>
      <c r="B155" s="9" t="inlineStr">
        <is>
          <t>Mary Wilson</t>
        </is>
      </c>
      <c r="C155" s="9" t="inlineStr">
        <is>
          <t>North</t>
        </is>
      </c>
      <c r="D155" s="9" t="inlineStr">
        <is>
          <t>Clothing</t>
        </is>
      </c>
      <c r="E155" s="11" t="n">
        <v>1171.18</v>
      </c>
      <c r="F155" s="9" t="n">
        <v>19</v>
      </c>
      <c r="G155" s="12" t="n">
        <v>0.05</v>
      </c>
      <c r="H155" s="9" t="inlineStr">
        <is>
          <t>2025-01-10</t>
        </is>
      </c>
      <c r="I155" s="11" t="n">
        <v>556.3099999999999</v>
      </c>
    </row>
    <row r="156">
      <c r="A156" s="9" t="inlineStr">
        <is>
          <t>CUST015</t>
        </is>
      </c>
      <c r="B156" s="9" t="inlineStr">
        <is>
          <t>Robert Anderson</t>
        </is>
      </c>
      <c r="C156" s="9" t="inlineStr">
        <is>
          <t>South</t>
        </is>
      </c>
      <c r="D156" s="9" t="inlineStr">
        <is>
          <t>Furniture</t>
        </is>
      </c>
      <c r="E156" s="11" t="n">
        <v>1054.56</v>
      </c>
      <c r="F156" s="9" t="n">
        <v>11</v>
      </c>
      <c r="G156" s="12" t="n">
        <v>0.1</v>
      </c>
      <c r="H156" s="9" t="inlineStr">
        <is>
          <t>2025-01-12</t>
        </is>
      </c>
      <c r="I156" s="11" t="n">
        <v>332.19</v>
      </c>
    </row>
    <row r="157">
      <c r="A157" s="9" t="inlineStr">
        <is>
          <t>CUST015</t>
        </is>
      </c>
      <c r="B157" s="9" t="inlineStr">
        <is>
          <t>James Wilson</t>
        </is>
      </c>
      <c r="C157" s="9" t="inlineStr">
        <is>
          <t>North</t>
        </is>
      </c>
      <c r="D157" s="9" t="inlineStr">
        <is>
          <t>Electronics</t>
        </is>
      </c>
      <c r="E157" s="11" t="n">
        <v>1681.21</v>
      </c>
      <c r="F157" s="9" t="n">
        <v>5</v>
      </c>
      <c r="G157" s="12" t="n">
        <v>0.2</v>
      </c>
      <c r="H157" s="9" t="inlineStr">
        <is>
          <t>2025-01-13</t>
        </is>
      </c>
      <c r="I157" s="11" t="n">
        <v>336.24</v>
      </c>
    </row>
    <row r="158">
      <c r="A158" s="9" t="inlineStr">
        <is>
          <t>CUST015</t>
        </is>
      </c>
      <c r="B158" s="9" t="inlineStr">
        <is>
          <t>David Thomas</t>
        </is>
      </c>
      <c r="C158" s="9" t="inlineStr">
        <is>
          <t>West</t>
        </is>
      </c>
      <c r="D158" s="9" t="inlineStr">
        <is>
          <t>Clothing</t>
        </is>
      </c>
      <c r="E158" s="11" t="n">
        <v>379.77</v>
      </c>
      <c r="F158" s="9" t="n">
        <v>9</v>
      </c>
      <c r="G158" s="12" t="n">
        <v>0.05</v>
      </c>
      <c r="H158" s="9" t="inlineStr">
        <is>
          <t>2025-01-16</t>
        </is>
      </c>
      <c r="I158" s="11" t="n">
        <v>180.39</v>
      </c>
    </row>
    <row r="159">
      <c r="A159" s="9" t="inlineStr">
        <is>
          <t>CUST008</t>
        </is>
      </c>
      <c r="B159" s="9" t="inlineStr">
        <is>
          <t>Lisa Thomas</t>
        </is>
      </c>
      <c r="C159" s="9" t="inlineStr">
        <is>
          <t>Central</t>
        </is>
      </c>
      <c r="D159" s="9" t="inlineStr">
        <is>
          <t>Clothing</t>
        </is>
      </c>
      <c r="E159" s="11" t="n">
        <v>1076.33</v>
      </c>
      <c r="F159" s="9" t="n">
        <v>2</v>
      </c>
      <c r="G159" s="12" t="n">
        <v>0.1</v>
      </c>
      <c r="H159" s="9" t="inlineStr">
        <is>
          <t>2025-01-17</t>
        </is>
      </c>
      <c r="I159" s="11" t="n">
        <v>484.35</v>
      </c>
    </row>
    <row r="160">
      <c r="A160" s="9" t="inlineStr">
        <is>
          <t>CUST008</t>
        </is>
      </c>
      <c r="B160" s="9" t="inlineStr">
        <is>
          <t>Mary Davis</t>
        </is>
      </c>
      <c r="C160" s="9" t="inlineStr">
        <is>
          <t>Central</t>
        </is>
      </c>
      <c r="D160" s="9" t="inlineStr">
        <is>
          <t>Office Supplies</t>
        </is>
      </c>
      <c r="E160" s="11" t="n">
        <v>1250.71</v>
      </c>
      <c r="F160" s="9" t="n">
        <v>7</v>
      </c>
      <c r="G160" s="12" t="n">
        <v>0</v>
      </c>
      <c r="H160" s="9" t="inlineStr">
        <is>
          <t>2025-01-17</t>
        </is>
      </c>
      <c r="I160" s="11" t="n">
        <v>562.8200000000001</v>
      </c>
    </row>
    <row r="161">
      <c r="A161" s="9" t="inlineStr">
        <is>
          <t>CUST023</t>
        </is>
      </c>
      <c r="B161" s="9" t="inlineStr">
        <is>
          <t>James Taylor</t>
        </is>
      </c>
      <c r="C161" s="9" t="inlineStr">
        <is>
          <t>South</t>
        </is>
      </c>
      <c r="D161" s="9" t="inlineStr">
        <is>
          <t>Clothing</t>
        </is>
      </c>
      <c r="E161" s="11" t="n">
        <v>1118.34</v>
      </c>
      <c r="F161" s="9" t="n">
        <v>6</v>
      </c>
      <c r="G161" s="12" t="n">
        <v>0.2</v>
      </c>
      <c r="H161" s="9" t="inlineStr">
        <is>
          <t>2025-01-17</t>
        </is>
      </c>
      <c r="I161" s="11" t="n">
        <v>447.34</v>
      </c>
    </row>
    <row r="162">
      <c r="A162" s="9" t="inlineStr">
        <is>
          <t>CUST024</t>
        </is>
      </c>
      <c r="B162" s="9" t="inlineStr">
        <is>
          <t>Linda Taylor</t>
        </is>
      </c>
      <c r="C162" s="9" t="inlineStr">
        <is>
          <t>North</t>
        </is>
      </c>
      <c r="D162" s="9" t="inlineStr">
        <is>
          <t>Clothing</t>
        </is>
      </c>
      <c r="E162" s="11" t="n">
        <v>1622.62</v>
      </c>
      <c r="F162" s="9" t="n">
        <v>12</v>
      </c>
      <c r="G162" s="12" t="n">
        <v>0.2</v>
      </c>
      <c r="H162" s="9" t="inlineStr">
        <is>
          <t>2025-01-20</t>
        </is>
      </c>
      <c r="I162" s="11" t="n">
        <v>649.05</v>
      </c>
    </row>
    <row r="163">
      <c r="A163" s="9" t="inlineStr">
        <is>
          <t>CUST018</t>
        </is>
      </c>
      <c r="B163" s="9" t="inlineStr">
        <is>
          <t>Lisa Davis</t>
        </is>
      </c>
      <c r="C163" s="9" t="inlineStr">
        <is>
          <t>North</t>
        </is>
      </c>
      <c r="D163" s="9" t="inlineStr">
        <is>
          <t>Books</t>
        </is>
      </c>
      <c r="E163" s="11" t="n">
        <v>640.64</v>
      </c>
      <c r="F163" s="9" t="n">
        <v>11</v>
      </c>
      <c r="G163" s="12" t="n">
        <v>0.2</v>
      </c>
      <c r="H163" s="9" t="inlineStr">
        <is>
          <t>2025-01-21</t>
        </is>
      </c>
      <c r="I163" s="11" t="n">
        <v>205</v>
      </c>
    </row>
    <row r="164">
      <c r="A164" s="9" t="inlineStr">
        <is>
          <t>CUST030</t>
        </is>
      </c>
      <c r="B164" s="9" t="inlineStr">
        <is>
          <t>Sarah Anderson</t>
        </is>
      </c>
      <c r="C164" s="9" t="inlineStr">
        <is>
          <t>West</t>
        </is>
      </c>
      <c r="D164" s="9" t="inlineStr">
        <is>
          <t>Clothing</t>
        </is>
      </c>
      <c r="E164" s="11" t="n">
        <v>585.16</v>
      </c>
      <c r="F164" s="9" t="n">
        <v>17</v>
      </c>
      <c r="G164" s="12" t="n">
        <v>0.1</v>
      </c>
      <c r="H164" s="9" t="inlineStr">
        <is>
          <t>2025-01-27</t>
        </is>
      </c>
      <c r="I164" s="11" t="n">
        <v>263.32</v>
      </c>
    </row>
    <row r="165">
      <c r="A165" s="9" t="inlineStr">
        <is>
          <t>CUST030</t>
        </is>
      </c>
      <c r="B165" s="9" t="inlineStr">
        <is>
          <t>Mary Davis</t>
        </is>
      </c>
      <c r="C165" s="9" t="inlineStr">
        <is>
          <t>East</t>
        </is>
      </c>
      <c r="D165" s="9" t="inlineStr">
        <is>
          <t>Clothing</t>
        </is>
      </c>
      <c r="E165" s="11" t="n">
        <v>1109.98</v>
      </c>
      <c r="F165" s="9" t="n">
        <v>5</v>
      </c>
      <c r="G165" s="12" t="n">
        <v>0.2</v>
      </c>
      <c r="H165" s="9" t="inlineStr">
        <is>
          <t>2025-02-02</t>
        </is>
      </c>
      <c r="I165" s="11" t="n">
        <v>443.99</v>
      </c>
    </row>
    <row r="166">
      <c r="A166" s="9" t="inlineStr">
        <is>
          <t>CUST015</t>
        </is>
      </c>
      <c r="B166" s="9" t="inlineStr">
        <is>
          <t>Lisa Thomas</t>
        </is>
      </c>
      <c r="C166" s="9" t="inlineStr">
        <is>
          <t>East</t>
        </is>
      </c>
      <c r="D166" s="9" t="inlineStr">
        <is>
          <t>Books</t>
        </is>
      </c>
      <c r="E166" s="11" t="n">
        <v>1098.08</v>
      </c>
      <c r="F166" s="9" t="n">
        <v>9</v>
      </c>
      <c r="G166" s="12" t="n">
        <v>0.1</v>
      </c>
      <c r="H166" s="9" t="inlineStr">
        <is>
          <t>2025-02-04</t>
        </is>
      </c>
      <c r="I166" s="11" t="n">
        <v>395.31</v>
      </c>
    </row>
    <row r="167">
      <c r="A167" s="9" t="inlineStr">
        <is>
          <t>CUST002</t>
        </is>
      </c>
      <c r="B167" s="9" t="inlineStr">
        <is>
          <t>Lisa Davis</t>
        </is>
      </c>
      <c r="C167" s="9" t="inlineStr">
        <is>
          <t>West</t>
        </is>
      </c>
      <c r="D167" s="9" t="inlineStr">
        <is>
          <t>Office Supplies</t>
        </is>
      </c>
      <c r="E167" s="11" t="n">
        <v>827.25</v>
      </c>
      <c r="F167" s="9" t="n">
        <v>7</v>
      </c>
      <c r="G167" s="12" t="n">
        <v>0.1</v>
      </c>
      <c r="H167" s="9" t="inlineStr">
        <is>
          <t>2025-02-05</t>
        </is>
      </c>
      <c r="I167" s="11" t="n">
        <v>335.04</v>
      </c>
    </row>
    <row r="168">
      <c r="A168" s="9" t="inlineStr">
        <is>
          <t>CUST024</t>
        </is>
      </c>
      <c r="B168" s="9" t="inlineStr">
        <is>
          <t>Linda Wilson</t>
        </is>
      </c>
      <c r="C168" s="9" t="inlineStr">
        <is>
          <t>Central</t>
        </is>
      </c>
      <c r="D168" s="9" t="inlineStr">
        <is>
          <t>Clothing</t>
        </is>
      </c>
      <c r="E168" s="11" t="n">
        <v>741.88</v>
      </c>
      <c r="F168" s="9" t="n">
        <v>16</v>
      </c>
      <c r="G168" s="12" t="n">
        <v>0.1</v>
      </c>
      <c r="H168" s="9" t="inlineStr">
        <is>
          <t>2025-02-07</t>
        </is>
      </c>
      <c r="I168" s="11" t="n">
        <v>333.85</v>
      </c>
    </row>
    <row r="169">
      <c r="A169" s="9" t="inlineStr">
        <is>
          <t>CUST004</t>
        </is>
      </c>
      <c r="B169" s="9" t="inlineStr">
        <is>
          <t>James Davis</t>
        </is>
      </c>
      <c r="C169" s="9" t="inlineStr">
        <is>
          <t>East</t>
        </is>
      </c>
      <c r="D169" s="9" t="inlineStr">
        <is>
          <t>Office Supplies</t>
        </is>
      </c>
      <c r="E169" s="11" t="n">
        <v>1311.26</v>
      </c>
      <c r="F169" s="9" t="n">
        <v>6</v>
      </c>
      <c r="G169" s="12" t="n">
        <v>0.1</v>
      </c>
      <c r="H169" s="9" t="inlineStr">
        <is>
          <t>2025-02-10</t>
        </is>
      </c>
      <c r="I169" s="11" t="n">
        <v>531.0599999999999</v>
      </c>
    </row>
    <row r="170">
      <c r="A170" s="9" t="inlineStr">
        <is>
          <t>CUST004</t>
        </is>
      </c>
      <c r="B170" s="9" t="inlineStr">
        <is>
          <t>Mary Davis</t>
        </is>
      </c>
      <c r="C170" s="9" t="inlineStr">
        <is>
          <t>South</t>
        </is>
      </c>
      <c r="D170" s="9" t="inlineStr">
        <is>
          <t>Office Supplies</t>
        </is>
      </c>
      <c r="E170" s="11" t="n">
        <v>573.3200000000001</v>
      </c>
      <c r="F170" s="9" t="n">
        <v>19</v>
      </c>
      <c r="G170" s="12" t="n">
        <v>0.1</v>
      </c>
      <c r="H170" s="9" t="inlineStr">
        <is>
          <t>2025-02-15</t>
        </is>
      </c>
      <c r="I170" s="11" t="n">
        <v>232.19</v>
      </c>
    </row>
    <row r="171">
      <c r="A171" s="9" t="inlineStr">
        <is>
          <t>CUST028</t>
        </is>
      </c>
      <c r="B171" s="9" t="inlineStr">
        <is>
          <t>James Wilson</t>
        </is>
      </c>
      <c r="C171" s="9" t="inlineStr">
        <is>
          <t>West</t>
        </is>
      </c>
      <c r="D171" s="9" t="inlineStr">
        <is>
          <t>Electronics</t>
        </is>
      </c>
      <c r="E171" s="11" t="n">
        <v>1115.22</v>
      </c>
      <c r="F171" s="9" t="n">
        <v>14</v>
      </c>
      <c r="G171" s="12" t="n">
        <v>0.2</v>
      </c>
      <c r="H171" s="9" t="inlineStr">
        <is>
          <t>2025-02-17</t>
        </is>
      </c>
      <c r="I171" s="11" t="n">
        <v>223.04</v>
      </c>
    </row>
    <row r="172">
      <c r="A172" s="9" t="inlineStr">
        <is>
          <t>CUST012</t>
        </is>
      </c>
      <c r="B172" s="9" t="inlineStr">
        <is>
          <t>Lisa Thomas</t>
        </is>
      </c>
      <c r="C172" s="9" t="inlineStr">
        <is>
          <t>North</t>
        </is>
      </c>
      <c r="D172" s="9" t="inlineStr">
        <is>
          <t>Clothing</t>
        </is>
      </c>
      <c r="E172" s="11" t="n">
        <v>845.84</v>
      </c>
      <c r="F172" s="9" t="n">
        <v>4</v>
      </c>
      <c r="G172" s="12" t="n">
        <v>0</v>
      </c>
      <c r="H172" s="9" t="inlineStr">
        <is>
          <t>2025-02-19</t>
        </is>
      </c>
      <c r="I172" s="11" t="n">
        <v>422.92</v>
      </c>
    </row>
    <row r="173">
      <c r="A173" s="9" t="inlineStr">
        <is>
          <t>CUST026</t>
        </is>
      </c>
      <c r="B173" s="9" t="inlineStr">
        <is>
          <t>David Brown</t>
        </is>
      </c>
      <c r="C173" s="9" t="inlineStr">
        <is>
          <t>West</t>
        </is>
      </c>
      <c r="D173" s="9" t="inlineStr">
        <is>
          <t>Electronics</t>
        </is>
      </c>
      <c r="E173" s="11" t="n">
        <v>1029.8</v>
      </c>
      <c r="F173" s="9" t="n">
        <v>3</v>
      </c>
      <c r="G173" s="12" t="n">
        <v>0</v>
      </c>
      <c r="H173" s="9" t="inlineStr">
        <is>
          <t>2025-02-20</t>
        </is>
      </c>
      <c r="I173" s="11" t="n">
        <v>257.45</v>
      </c>
    </row>
    <row r="174">
      <c r="A174" s="9" t="inlineStr">
        <is>
          <t>CUST009</t>
        </is>
      </c>
      <c r="B174" s="9" t="inlineStr">
        <is>
          <t>Mary Davis</t>
        </is>
      </c>
      <c r="C174" s="9" t="inlineStr">
        <is>
          <t>North</t>
        </is>
      </c>
      <c r="D174" s="9" t="inlineStr">
        <is>
          <t>Books</t>
        </is>
      </c>
      <c r="E174" s="11" t="n">
        <v>1189.83</v>
      </c>
      <c r="F174" s="9" t="n">
        <v>2</v>
      </c>
      <c r="G174" s="12" t="n">
        <v>0.2</v>
      </c>
      <c r="H174" s="9" t="inlineStr">
        <is>
          <t>2025-02-21</t>
        </is>
      </c>
      <c r="I174" s="11" t="n">
        <v>380.75</v>
      </c>
    </row>
    <row r="175">
      <c r="A175" s="9" t="inlineStr">
        <is>
          <t>CUST003</t>
        </is>
      </c>
      <c r="B175" s="9" t="inlineStr">
        <is>
          <t>Sarah Anderson</t>
        </is>
      </c>
      <c r="C175" s="9" t="inlineStr">
        <is>
          <t>South</t>
        </is>
      </c>
      <c r="D175" s="9" t="inlineStr">
        <is>
          <t>Books</t>
        </is>
      </c>
      <c r="E175" s="11" t="n">
        <v>704.28</v>
      </c>
      <c r="F175" s="9" t="n">
        <v>15</v>
      </c>
      <c r="G175" s="12" t="n">
        <v>0.2</v>
      </c>
      <c r="H175" s="9" t="inlineStr">
        <is>
          <t>2025-02-24</t>
        </is>
      </c>
      <c r="I175" s="11" t="n">
        <v>225.37</v>
      </c>
    </row>
    <row r="176">
      <c r="A176" s="9" t="inlineStr">
        <is>
          <t>CUST002</t>
        </is>
      </c>
      <c r="B176" s="9" t="inlineStr">
        <is>
          <t>Mary Jackson</t>
        </is>
      </c>
      <c r="C176" s="9" t="inlineStr">
        <is>
          <t>Central</t>
        </is>
      </c>
      <c r="D176" s="9" t="inlineStr">
        <is>
          <t>Office Supplies</t>
        </is>
      </c>
      <c r="E176" s="11" t="n">
        <v>1618.22</v>
      </c>
      <c r="F176" s="9" t="n">
        <v>12</v>
      </c>
      <c r="G176" s="12" t="n">
        <v>0.2</v>
      </c>
      <c r="H176" s="9" t="inlineStr">
        <is>
          <t>2025-02-24</t>
        </is>
      </c>
      <c r="I176" s="11" t="n">
        <v>582.5599999999999</v>
      </c>
    </row>
    <row r="177">
      <c r="A177" s="9" t="inlineStr">
        <is>
          <t>CUST013</t>
        </is>
      </c>
      <c r="B177" s="9" t="inlineStr">
        <is>
          <t>Linda Taylor</t>
        </is>
      </c>
      <c r="C177" s="9" t="inlineStr">
        <is>
          <t>Central</t>
        </is>
      </c>
      <c r="D177" s="9" t="inlineStr">
        <is>
          <t>Books</t>
        </is>
      </c>
      <c r="E177" s="11" t="n">
        <v>1014.43</v>
      </c>
      <c r="F177" s="9" t="n">
        <v>2</v>
      </c>
      <c r="G177" s="12" t="n">
        <v>0.15</v>
      </c>
      <c r="H177" s="9" t="inlineStr">
        <is>
          <t>2025-02-25</t>
        </is>
      </c>
      <c r="I177" s="11" t="n">
        <v>344.91</v>
      </c>
    </row>
    <row r="178">
      <c r="A178" s="9" t="inlineStr">
        <is>
          <t>CUST018</t>
        </is>
      </c>
      <c r="B178" s="9" t="inlineStr">
        <is>
          <t>Mary Davis</t>
        </is>
      </c>
      <c r="C178" s="9" t="inlineStr">
        <is>
          <t>Central</t>
        </is>
      </c>
      <c r="D178" s="9" t="inlineStr">
        <is>
          <t>Clothing</t>
        </is>
      </c>
      <c r="E178" s="11" t="n">
        <v>826.97</v>
      </c>
      <c r="F178" s="9" t="n">
        <v>18</v>
      </c>
      <c r="G178" s="12" t="n">
        <v>0.2</v>
      </c>
      <c r="H178" s="9" t="inlineStr">
        <is>
          <t>2025-02-27</t>
        </is>
      </c>
      <c r="I178" s="11" t="n">
        <v>330.79</v>
      </c>
    </row>
    <row r="179">
      <c r="A179" s="9" t="inlineStr">
        <is>
          <t>CUST017</t>
        </is>
      </c>
      <c r="B179" s="9" t="inlineStr">
        <is>
          <t>Mary Davis</t>
        </is>
      </c>
      <c r="C179" s="9" t="inlineStr">
        <is>
          <t>Central</t>
        </is>
      </c>
      <c r="D179" s="9" t="inlineStr">
        <is>
          <t>Clothing</t>
        </is>
      </c>
      <c r="E179" s="11" t="n">
        <v>1022.23</v>
      </c>
      <c r="F179" s="9" t="n">
        <v>8</v>
      </c>
      <c r="G179" s="12" t="n">
        <v>0.1</v>
      </c>
      <c r="H179" s="9" t="inlineStr">
        <is>
          <t>2025-03-01</t>
        </is>
      </c>
      <c r="I179" s="11" t="n">
        <v>460</v>
      </c>
    </row>
    <row r="180">
      <c r="A180" s="9" t="inlineStr">
        <is>
          <t>CUST004</t>
        </is>
      </c>
      <c r="B180" s="9" t="inlineStr">
        <is>
          <t>Linda Wilson</t>
        </is>
      </c>
      <c r="C180" s="9" t="inlineStr">
        <is>
          <t>East</t>
        </is>
      </c>
      <c r="D180" s="9" t="inlineStr">
        <is>
          <t>Books</t>
        </is>
      </c>
      <c r="E180" s="11" t="n">
        <v>1099.69</v>
      </c>
      <c r="F180" s="9" t="n">
        <v>6</v>
      </c>
      <c r="G180" s="12" t="n">
        <v>0</v>
      </c>
      <c r="H180" s="9" t="inlineStr">
        <is>
          <t>2025-03-02</t>
        </is>
      </c>
      <c r="I180" s="11" t="n">
        <v>439.88</v>
      </c>
    </row>
    <row r="181">
      <c r="A181" s="9" t="inlineStr">
        <is>
          <t>CUST028</t>
        </is>
      </c>
      <c r="B181" s="9" t="inlineStr">
        <is>
          <t>Sarah Davis</t>
        </is>
      </c>
      <c r="C181" s="9" t="inlineStr">
        <is>
          <t>North</t>
        </is>
      </c>
      <c r="D181" s="9" t="inlineStr">
        <is>
          <t>Books</t>
        </is>
      </c>
      <c r="E181" s="11" t="n">
        <v>710.52</v>
      </c>
      <c r="F181" s="9" t="n">
        <v>8</v>
      </c>
      <c r="G181" s="12" t="n">
        <v>0.1</v>
      </c>
      <c r="H181" s="9" t="inlineStr">
        <is>
          <t>2025-03-05</t>
        </is>
      </c>
      <c r="I181" s="11" t="n">
        <v>255.79</v>
      </c>
    </row>
    <row r="182">
      <c r="A182" s="9" t="inlineStr">
        <is>
          <t>CUST028</t>
        </is>
      </c>
      <c r="B182" s="9" t="inlineStr">
        <is>
          <t>Mary Wilson</t>
        </is>
      </c>
      <c r="C182" s="9" t="inlineStr">
        <is>
          <t>North</t>
        </is>
      </c>
      <c r="D182" s="9" t="inlineStr">
        <is>
          <t>Books</t>
        </is>
      </c>
      <c r="E182" s="11" t="n">
        <v>499.18</v>
      </c>
      <c r="F182" s="9" t="n">
        <v>15</v>
      </c>
      <c r="G182" s="12" t="n">
        <v>0.2</v>
      </c>
      <c r="H182" s="9" t="inlineStr">
        <is>
          <t>2025-03-08</t>
        </is>
      </c>
      <c r="I182" s="11" t="n">
        <v>159.74</v>
      </c>
    </row>
    <row r="183">
      <c r="A183" s="9" t="inlineStr">
        <is>
          <t>CUST014</t>
        </is>
      </c>
      <c r="B183" s="9" t="inlineStr">
        <is>
          <t>Emma Davis</t>
        </is>
      </c>
      <c r="C183" s="9" t="inlineStr">
        <is>
          <t>South</t>
        </is>
      </c>
      <c r="D183" s="9" t="inlineStr">
        <is>
          <t>Books</t>
        </is>
      </c>
      <c r="E183" s="11" t="n">
        <v>1064.19</v>
      </c>
      <c r="F183" s="9" t="n">
        <v>18</v>
      </c>
      <c r="G183" s="12" t="n">
        <v>0.05</v>
      </c>
      <c r="H183" s="9" t="inlineStr">
        <is>
          <t>2025-03-09</t>
        </is>
      </c>
      <c r="I183" s="11" t="n">
        <v>404.39</v>
      </c>
    </row>
    <row r="184">
      <c r="A184" s="9" t="inlineStr">
        <is>
          <t>CUST003</t>
        </is>
      </c>
      <c r="B184" s="9" t="inlineStr">
        <is>
          <t>Emma Davis</t>
        </is>
      </c>
      <c r="C184" s="9" t="inlineStr">
        <is>
          <t>East</t>
        </is>
      </c>
      <c r="D184" s="9" t="inlineStr">
        <is>
          <t>Office Supplies</t>
        </is>
      </c>
      <c r="E184" s="11" t="n">
        <v>438.76</v>
      </c>
      <c r="F184" s="9" t="n">
        <v>18</v>
      </c>
      <c r="G184" s="12" t="n">
        <v>0.05</v>
      </c>
      <c r="H184" s="9" t="inlineStr">
        <is>
          <t>2025-03-10</t>
        </is>
      </c>
      <c r="I184" s="11" t="n">
        <v>187.57</v>
      </c>
    </row>
    <row r="185">
      <c r="A185" s="9" t="inlineStr">
        <is>
          <t>CUST029</t>
        </is>
      </c>
      <c r="B185" s="9" t="inlineStr">
        <is>
          <t>David Brown</t>
        </is>
      </c>
      <c r="C185" s="9" t="inlineStr">
        <is>
          <t>West</t>
        </is>
      </c>
      <c r="D185" s="9" t="inlineStr">
        <is>
          <t>Clothing</t>
        </is>
      </c>
      <c r="E185" s="11" t="n">
        <v>864.98</v>
      </c>
      <c r="F185" s="9" t="n">
        <v>2</v>
      </c>
      <c r="G185" s="12" t="n">
        <v>0.05</v>
      </c>
      <c r="H185" s="9" t="inlineStr">
        <is>
          <t>2025-03-11</t>
        </is>
      </c>
      <c r="I185" s="11" t="n">
        <v>410.87</v>
      </c>
    </row>
    <row r="186">
      <c r="A186" s="9" t="inlineStr">
        <is>
          <t>CUST021</t>
        </is>
      </c>
      <c r="B186" s="9" t="inlineStr">
        <is>
          <t>David Brown</t>
        </is>
      </c>
      <c r="C186" s="9" t="inlineStr">
        <is>
          <t>West</t>
        </is>
      </c>
      <c r="D186" s="9" t="inlineStr">
        <is>
          <t>Furniture</t>
        </is>
      </c>
      <c r="E186" s="11" t="n">
        <v>984.9299999999999</v>
      </c>
      <c r="F186" s="9" t="n">
        <v>14</v>
      </c>
      <c r="G186" s="12" t="n">
        <v>0.2</v>
      </c>
      <c r="H186" s="9" t="inlineStr">
        <is>
          <t>2025-03-17</t>
        </is>
      </c>
      <c r="I186" s="11" t="n">
        <v>275.78</v>
      </c>
    </row>
    <row r="187">
      <c r="A187" s="9" t="inlineStr">
        <is>
          <t>CUST007</t>
        </is>
      </c>
      <c r="B187" s="9" t="inlineStr">
        <is>
          <t>David Brown</t>
        </is>
      </c>
      <c r="C187" s="9" t="inlineStr">
        <is>
          <t>West</t>
        </is>
      </c>
      <c r="D187" s="9" t="inlineStr">
        <is>
          <t>Clothing</t>
        </is>
      </c>
      <c r="E187" s="11" t="n">
        <v>1493.49</v>
      </c>
      <c r="F187" s="9" t="n">
        <v>18</v>
      </c>
      <c r="G187" s="12" t="n">
        <v>0</v>
      </c>
      <c r="H187" s="9" t="inlineStr">
        <is>
          <t>2025-03-18</t>
        </is>
      </c>
      <c r="I187" s="11" t="n">
        <v>746.74</v>
      </c>
    </row>
    <row r="188">
      <c r="A188" s="9" t="inlineStr">
        <is>
          <t>CUST009</t>
        </is>
      </c>
      <c r="B188" s="9" t="inlineStr">
        <is>
          <t>Linda Taylor</t>
        </is>
      </c>
      <c r="C188" s="9" t="inlineStr">
        <is>
          <t>South</t>
        </is>
      </c>
      <c r="D188" s="9" t="inlineStr">
        <is>
          <t>Clothing</t>
        </is>
      </c>
      <c r="E188" s="11" t="n">
        <v>689.4299999999999</v>
      </c>
      <c r="F188" s="9" t="n">
        <v>9</v>
      </c>
      <c r="G188" s="12" t="n">
        <v>0.1</v>
      </c>
      <c r="H188" s="9" t="inlineStr">
        <is>
          <t>2025-03-20</t>
        </is>
      </c>
      <c r="I188" s="11" t="n">
        <v>310.24</v>
      </c>
    </row>
    <row r="189">
      <c r="A189" s="9" t="inlineStr">
        <is>
          <t>CUST023</t>
        </is>
      </c>
      <c r="B189" s="9" t="inlineStr">
        <is>
          <t>Mary Wilson</t>
        </is>
      </c>
      <c r="C189" s="9" t="inlineStr">
        <is>
          <t>South</t>
        </is>
      </c>
      <c r="D189" s="9" t="inlineStr">
        <is>
          <t>Clothing</t>
        </is>
      </c>
      <c r="E189" s="11" t="n">
        <v>682.24</v>
      </c>
      <c r="F189" s="9" t="n">
        <v>1</v>
      </c>
      <c r="G189" s="12" t="n">
        <v>0</v>
      </c>
      <c r="H189" s="9" t="inlineStr">
        <is>
          <t>2025-03-22</t>
        </is>
      </c>
      <c r="I189" s="11" t="n">
        <v>341.12</v>
      </c>
    </row>
    <row r="190">
      <c r="A190" s="9" t="inlineStr">
        <is>
          <t>CUST029</t>
        </is>
      </c>
      <c r="B190" s="9" t="inlineStr">
        <is>
          <t>Michael Anderson</t>
        </is>
      </c>
      <c r="C190" s="9" t="inlineStr">
        <is>
          <t>North</t>
        </is>
      </c>
      <c r="D190" s="9" t="inlineStr">
        <is>
          <t>Electronics</t>
        </is>
      </c>
      <c r="E190" s="11" t="n">
        <v>458.54</v>
      </c>
      <c r="F190" s="9" t="n">
        <v>15</v>
      </c>
      <c r="G190" s="12" t="n">
        <v>0.2</v>
      </c>
      <c r="H190" s="9" t="inlineStr">
        <is>
          <t>2025-03-25</t>
        </is>
      </c>
      <c r="I190" s="11" t="n">
        <v>91.70999999999999</v>
      </c>
    </row>
    <row r="191">
      <c r="A191" s="9" t="inlineStr">
        <is>
          <t>CUST009</t>
        </is>
      </c>
      <c r="B191" s="9" t="inlineStr">
        <is>
          <t>Michael Anderson</t>
        </is>
      </c>
      <c r="C191" s="9" t="inlineStr">
        <is>
          <t>South</t>
        </is>
      </c>
      <c r="D191" s="9" t="inlineStr">
        <is>
          <t>Furniture</t>
        </is>
      </c>
      <c r="E191" s="11" t="n">
        <v>1184.25</v>
      </c>
      <c r="F191" s="9" t="n">
        <v>11</v>
      </c>
      <c r="G191" s="12" t="n">
        <v>0.2</v>
      </c>
      <c r="H191" s="9" t="inlineStr">
        <is>
          <t>2025-03-26</t>
        </is>
      </c>
      <c r="I191" s="11" t="n">
        <v>331.59</v>
      </c>
    </row>
    <row r="192">
      <c r="A192" s="9" t="inlineStr">
        <is>
          <t>CUST007</t>
        </is>
      </c>
      <c r="B192" s="9" t="inlineStr">
        <is>
          <t>James Davis</t>
        </is>
      </c>
      <c r="C192" s="9" t="inlineStr">
        <is>
          <t>South</t>
        </is>
      </c>
      <c r="D192" s="9" t="inlineStr">
        <is>
          <t>Clothing</t>
        </is>
      </c>
      <c r="E192" s="11" t="n">
        <v>762.14</v>
      </c>
      <c r="F192" s="9" t="n">
        <v>9</v>
      </c>
      <c r="G192" s="12" t="n">
        <v>0</v>
      </c>
      <c r="H192" s="9" t="inlineStr">
        <is>
          <t>2025-03-27</t>
        </is>
      </c>
      <c r="I192" s="11" t="n">
        <v>381.07</v>
      </c>
    </row>
    <row r="193">
      <c r="A193" s="9" t="inlineStr">
        <is>
          <t>CUST030</t>
        </is>
      </c>
      <c r="B193" s="9" t="inlineStr">
        <is>
          <t>Linda Taylor</t>
        </is>
      </c>
      <c r="C193" s="9" t="inlineStr">
        <is>
          <t>North</t>
        </is>
      </c>
      <c r="D193" s="9" t="inlineStr">
        <is>
          <t>Books</t>
        </is>
      </c>
      <c r="E193" s="11" t="n">
        <v>750.71</v>
      </c>
      <c r="F193" s="9" t="n">
        <v>10</v>
      </c>
      <c r="G193" s="12" t="n">
        <v>0.15</v>
      </c>
      <c r="H193" s="9" t="inlineStr">
        <is>
          <t>2025-03-27</t>
        </is>
      </c>
      <c r="I193" s="11" t="n">
        <v>255.24</v>
      </c>
    </row>
    <row r="194">
      <c r="A194" s="9" t="inlineStr">
        <is>
          <t>CUST018</t>
        </is>
      </c>
      <c r="B194" s="9" t="inlineStr">
        <is>
          <t>David Anderson</t>
        </is>
      </c>
      <c r="C194" s="9" t="inlineStr">
        <is>
          <t>Central</t>
        </is>
      </c>
      <c r="D194" s="9" t="inlineStr">
        <is>
          <t>Clothing</t>
        </is>
      </c>
      <c r="E194" s="11" t="n">
        <v>1456.94</v>
      </c>
      <c r="F194" s="9" t="n">
        <v>14</v>
      </c>
      <c r="G194" s="12" t="n">
        <v>0.05</v>
      </c>
      <c r="H194" s="9" t="inlineStr">
        <is>
          <t>2025-03-29</t>
        </is>
      </c>
      <c r="I194" s="11" t="n">
        <v>692.05</v>
      </c>
    </row>
    <row r="195">
      <c r="A195" s="9" t="inlineStr">
        <is>
          <t>CUST008</t>
        </is>
      </c>
      <c r="B195" s="9" t="inlineStr">
        <is>
          <t>Emma Wilson</t>
        </is>
      </c>
      <c r="C195" s="9" t="inlineStr">
        <is>
          <t>East</t>
        </is>
      </c>
      <c r="D195" s="9" t="inlineStr">
        <is>
          <t>Furniture</t>
        </is>
      </c>
      <c r="E195" s="11" t="n">
        <v>1093.38</v>
      </c>
      <c r="F195" s="9" t="n">
        <v>17</v>
      </c>
      <c r="G195" s="12" t="n">
        <v>0.1</v>
      </c>
      <c r="H195" s="9" t="inlineStr">
        <is>
          <t>2025-03-29</t>
        </is>
      </c>
      <c r="I195" s="11" t="n">
        <v>344.41</v>
      </c>
    </row>
    <row r="196">
      <c r="A196" s="9" t="inlineStr">
        <is>
          <t>CUST014</t>
        </is>
      </c>
      <c r="B196" s="9" t="inlineStr">
        <is>
          <t>Sarah Anderson</t>
        </is>
      </c>
      <c r="C196" s="9" t="inlineStr">
        <is>
          <t>West</t>
        </is>
      </c>
      <c r="D196" s="9" t="inlineStr">
        <is>
          <t>Clothing</t>
        </is>
      </c>
      <c r="E196" s="11" t="n">
        <v>934.27</v>
      </c>
      <c r="F196" s="9" t="n">
        <v>8</v>
      </c>
      <c r="G196" s="12" t="n">
        <v>0.15</v>
      </c>
      <c r="H196" s="9" t="inlineStr">
        <is>
          <t>2025-03-30</t>
        </is>
      </c>
      <c r="I196" s="11" t="n">
        <v>397.06</v>
      </c>
    </row>
    <row r="197">
      <c r="A197" s="9" t="inlineStr">
        <is>
          <t>CUST024</t>
        </is>
      </c>
      <c r="B197" s="9" t="inlineStr">
        <is>
          <t>David Thomas</t>
        </is>
      </c>
      <c r="C197" s="9" t="inlineStr">
        <is>
          <t>Central</t>
        </is>
      </c>
      <c r="D197" s="9" t="inlineStr">
        <is>
          <t>Clothing</t>
        </is>
      </c>
      <c r="E197" s="11" t="n">
        <v>1465.35</v>
      </c>
      <c r="F197" s="9" t="n">
        <v>8</v>
      </c>
      <c r="G197" s="12" t="n">
        <v>0.2</v>
      </c>
      <c r="H197" s="9" t="inlineStr">
        <is>
          <t>2025-03-30</t>
        </is>
      </c>
      <c r="I197" s="11" t="n">
        <v>586.14</v>
      </c>
    </row>
    <row r="198">
      <c r="A198" s="9" t="inlineStr">
        <is>
          <t>CUST028</t>
        </is>
      </c>
      <c r="B198" s="9" t="inlineStr">
        <is>
          <t>Robert Anderson</t>
        </is>
      </c>
      <c r="C198" s="9" t="inlineStr">
        <is>
          <t>South</t>
        </is>
      </c>
      <c r="D198" s="9" t="inlineStr">
        <is>
          <t>Office Supplies</t>
        </is>
      </c>
      <c r="E198" s="11" t="n">
        <v>740.8</v>
      </c>
      <c r="F198" s="9" t="n">
        <v>3</v>
      </c>
      <c r="G198" s="12" t="n">
        <v>0</v>
      </c>
      <c r="H198" s="9" t="inlineStr">
        <is>
          <t>2025-04-02</t>
        </is>
      </c>
      <c r="I198" s="11" t="n">
        <v>333.36</v>
      </c>
    </row>
    <row r="199">
      <c r="A199" s="9" t="inlineStr">
        <is>
          <t>CUST015</t>
        </is>
      </c>
      <c r="B199" s="9" t="inlineStr">
        <is>
          <t>Sarah Anderson</t>
        </is>
      </c>
      <c r="C199" s="9" t="inlineStr">
        <is>
          <t>West</t>
        </is>
      </c>
      <c r="D199" s="9" t="inlineStr">
        <is>
          <t>Office Supplies</t>
        </is>
      </c>
      <c r="E199" s="11" t="n">
        <v>545.4400000000001</v>
      </c>
      <c r="F199" s="9" t="n">
        <v>17</v>
      </c>
      <c r="G199" s="12" t="n">
        <v>0</v>
      </c>
      <c r="H199" s="9" t="inlineStr">
        <is>
          <t>2025-04-05</t>
        </is>
      </c>
      <c r="I199" s="11" t="n">
        <v>245.45</v>
      </c>
    </row>
    <row r="200">
      <c r="A200" s="9" t="inlineStr">
        <is>
          <t>CUST010</t>
        </is>
      </c>
      <c r="B200" s="9" t="inlineStr">
        <is>
          <t>David Thomas</t>
        </is>
      </c>
      <c r="C200" s="9" t="inlineStr">
        <is>
          <t>East</t>
        </is>
      </c>
      <c r="D200" s="9" t="inlineStr">
        <is>
          <t>Books</t>
        </is>
      </c>
      <c r="E200" s="11" t="n">
        <v>997.61</v>
      </c>
      <c r="F200" s="9" t="n">
        <v>8</v>
      </c>
      <c r="G200" s="12" t="n">
        <v>0.05</v>
      </c>
      <c r="H200" s="9" t="inlineStr">
        <is>
          <t>2025-04-05</t>
        </is>
      </c>
      <c r="I200" s="11" t="n">
        <v>379.09</v>
      </c>
    </row>
    <row r="201">
      <c r="A201" s="9" t="inlineStr">
        <is>
          <t>CUST016</t>
        </is>
      </c>
      <c r="B201" s="9" t="inlineStr">
        <is>
          <t>David Thomas</t>
        </is>
      </c>
      <c r="C201" s="9" t="inlineStr">
        <is>
          <t>South</t>
        </is>
      </c>
      <c r="D201" s="9" t="inlineStr">
        <is>
          <t>Clothing</t>
        </is>
      </c>
      <c r="E201" s="11" t="n">
        <v>928.3200000000001</v>
      </c>
      <c r="F201" s="9" t="n">
        <v>2</v>
      </c>
      <c r="G201" s="12" t="n">
        <v>0.05</v>
      </c>
      <c r="H201" s="9" t="inlineStr">
        <is>
          <t>2025-04-07</t>
        </is>
      </c>
      <c r="I201" s="11" t="n">
        <v>440.95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5" customWidth="1" min="3" max="3"/>
  </cols>
  <sheetData>
    <row r="1">
      <c r="A1" s="13" t="inlineStr">
        <is>
          <t>Task 1: Top 10 Customers (Conditional Formatting Applied)</t>
        </is>
      </c>
    </row>
    <row r="2"/>
    <row r="3">
      <c r="A3" s="6" t="inlineStr">
        <is>
          <t>Customer ID</t>
        </is>
      </c>
      <c r="B3" s="6" t="inlineStr">
        <is>
          <t>Customer Name</t>
        </is>
      </c>
      <c r="C3" s="6" t="inlineStr">
        <is>
          <t>Total Purchase (Sales)</t>
        </is>
      </c>
    </row>
    <row r="4">
      <c r="A4" s="14" t="inlineStr">
        <is>
          <t>CUST015</t>
        </is>
      </c>
      <c r="B4" s="15" t="inlineStr">
        <is>
          <t>James Wilson</t>
        </is>
      </c>
      <c r="C4" s="16" t="n">
        <v>4831.49</v>
      </c>
    </row>
    <row r="5">
      <c r="A5" s="14" t="inlineStr">
        <is>
          <t>CUST028</t>
        </is>
      </c>
      <c r="B5" s="15" t="inlineStr">
        <is>
          <t>James Wilson</t>
        </is>
      </c>
      <c r="C5" s="16" t="n">
        <v>3687.46</v>
      </c>
    </row>
    <row r="6">
      <c r="A6" s="14" t="inlineStr">
        <is>
          <t>CUST003</t>
        </is>
      </c>
      <c r="B6" s="15" t="inlineStr">
        <is>
          <t>James Wilson</t>
        </is>
      </c>
      <c r="C6" s="16" t="n">
        <v>3095.83</v>
      </c>
    </row>
    <row r="7">
      <c r="A7" s="14" t="inlineStr">
        <is>
          <t>CUST026</t>
        </is>
      </c>
      <c r="B7" s="15" t="inlineStr">
        <is>
          <t>Mary Davis</t>
        </is>
      </c>
      <c r="C7" s="16" t="n">
        <v>2653.2</v>
      </c>
    </row>
    <row r="8">
      <c r="A8" s="14" t="inlineStr">
        <is>
          <t>CUST014</t>
        </is>
      </c>
      <c r="B8" s="15" t="inlineStr">
        <is>
          <t>Emma Davis</t>
        </is>
      </c>
      <c r="C8" s="16" t="n">
        <v>2637.01</v>
      </c>
    </row>
    <row r="9">
      <c r="A9" s="14" t="inlineStr">
        <is>
          <t>CUST030</t>
        </is>
      </c>
      <c r="B9" s="15" t="inlineStr">
        <is>
          <t>Mary Davis</t>
        </is>
      </c>
      <c r="C9" s="16" t="n">
        <v>2401.45</v>
      </c>
    </row>
    <row r="10">
      <c r="A10" s="14" t="inlineStr">
        <is>
          <t>CUST003</t>
        </is>
      </c>
      <c r="B10" s="15" t="inlineStr">
        <is>
          <t>James Davis</t>
        </is>
      </c>
      <c r="C10" s="16" t="n">
        <v>2341.4</v>
      </c>
    </row>
    <row r="11">
      <c r="A11" s="14" t="inlineStr">
        <is>
          <t>CUST029</t>
        </is>
      </c>
      <c r="B11" s="15" t="inlineStr">
        <is>
          <t>Emma Wilson</t>
        </is>
      </c>
      <c r="C11" s="16" t="n">
        <v>2273.07</v>
      </c>
    </row>
    <row r="12">
      <c r="A12" s="14" t="inlineStr">
        <is>
          <t>CUST007</t>
        </is>
      </c>
      <c r="B12" s="15" t="inlineStr">
        <is>
          <t>David Brown</t>
        </is>
      </c>
      <c r="C12" s="16" t="n">
        <v>2173.2</v>
      </c>
    </row>
    <row r="13">
      <c r="A13" s="14" t="inlineStr">
        <is>
          <t>CUST004</t>
        </is>
      </c>
      <c r="B13" s="15" t="inlineStr">
        <is>
          <t>Mary Davis</t>
        </is>
      </c>
      <c r="C13" s="16" t="n">
        <v>2162.74</v>
      </c>
    </row>
    <row r="14">
      <c r="A14" s="7" t="inlineStr">
        <is>
          <t>CUST007</t>
        </is>
      </c>
      <c r="B14" s="9" t="inlineStr">
        <is>
          <t>Michael Anderson</t>
        </is>
      </c>
      <c r="C14" s="11" t="n">
        <v>2157.22</v>
      </c>
    </row>
    <row r="15">
      <c r="A15" s="7" t="inlineStr">
        <is>
          <t>CUST008</t>
        </is>
      </c>
      <c r="B15" s="9" t="inlineStr">
        <is>
          <t>James Wilson</t>
        </is>
      </c>
      <c r="C15" s="11" t="n">
        <v>2095.36</v>
      </c>
    </row>
    <row r="16">
      <c r="A16" s="7" t="inlineStr">
        <is>
          <t>CUST021</t>
        </is>
      </c>
      <c r="B16" s="9" t="inlineStr">
        <is>
          <t>James Wilson</t>
        </is>
      </c>
      <c r="C16" s="11" t="n">
        <v>2046.67</v>
      </c>
    </row>
    <row r="17">
      <c r="A17" s="7" t="inlineStr">
        <is>
          <t>CUST028</t>
        </is>
      </c>
      <c r="B17" s="9" t="inlineStr">
        <is>
          <t>Linda Brown</t>
        </is>
      </c>
      <c r="C17" s="11" t="n">
        <v>1953.09</v>
      </c>
    </row>
    <row r="18">
      <c r="A18" s="7" t="inlineStr">
        <is>
          <t>CUST002</t>
        </is>
      </c>
      <c r="B18" s="9" t="inlineStr">
        <is>
          <t>Lisa Davis</t>
        </is>
      </c>
      <c r="C18" s="11" t="n">
        <v>1770.15</v>
      </c>
    </row>
    <row r="19">
      <c r="A19" s="7" t="inlineStr">
        <is>
          <t>CUST010</t>
        </is>
      </c>
      <c r="B19" s="9" t="inlineStr">
        <is>
          <t>David Thomas</t>
        </is>
      </c>
      <c r="C19" s="11" t="n">
        <v>1734.92</v>
      </c>
    </row>
    <row r="20">
      <c r="A20" s="7" t="inlineStr">
        <is>
          <t>CUST028</t>
        </is>
      </c>
      <c r="B20" s="9" t="inlineStr">
        <is>
          <t>Lisa Davis</t>
        </is>
      </c>
      <c r="C20" s="11" t="n">
        <v>1719.48</v>
      </c>
    </row>
    <row r="21">
      <c r="A21" s="7" t="inlineStr">
        <is>
          <t>CUST001</t>
        </is>
      </c>
      <c r="B21" s="9" t="inlineStr">
        <is>
          <t>Lisa Thomas</t>
        </is>
      </c>
      <c r="C21" s="11" t="n">
        <v>1714.62</v>
      </c>
    </row>
    <row r="22">
      <c r="A22" s="7" t="inlineStr">
        <is>
          <t>CUST003</t>
        </is>
      </c>
      <c r="B22" s="9" t="inlineStr">
        <is>
          <t>Emma Davis</t>
        </is>
      </c>
      <c r="C22" s="11" t="n">
        <v>1687.58</v>
      </c>
    </row>
    <row r="23">
      <c r="A23" s="7" t="inlineStr">
        <is>
          <t>CUST005</t>
        </is>
      </c>
      <c r="B23" s="9" t="inlineStr">
        <is>
          <t>Robert Anderson</t>
        </is>
      </c>
      <c r="C23" s="11" t="n">
        <v>1679.97</v>
      </c>
    </row>
    <row r="24">
      <c r="A24" s="7" t="inlineStr">
        <is>
          <t>CUST024</t>
        </is>
      </c>
      <c r="B24" s="9" t="inlineStr">
        <is>
          <t>Linda Taylor</t>
        </is>
      </c>
      <c r="C24" s="11" t="n">
        <v>1622.62</v>
      </c>
    </row>
    <row r="25">
      <c r="A25" s="7" t="inlineStr">
        <is>
          <t>CUST002</t>
        </is>
      </c>
      <c r="B25" s="9" t="inlineStr">
        <is>
          <t>Mary Jackson</t>
        </is>
      </c>
      <c r="C25" s="11" t="n">
        <v>1618.22</v>
      </c>
    </row>
    <row r="26">
      <c r="A26" s="7" t="inlineStr">
        <is>
          <t>CUST009</t>
        </is>
      </c>
      <c r="B26" s="9" t="inlineStr">
        <is>
          <t>Emma Davis</t>
        </is>
      </c>
      <c r="C26" s="11" t="n">
        <v>1589.82</v>
      </c>
    </row>
    <row r="27">
      <c r="A27" s="7" t="inlineStr">
        <is>
          <t>CUST015</t>
        </is>
      </c>
      <c r="B27" s="9" t="inlineStr">
        <is>
          <t>David Thomas</t>
        </is>
      </c>
      <c r="C27" s="11" t="n">
        <v>1548.66</v>
      </c>
    </row>
    <row r="28">
      <c r="A28" s="7" t="inlineStr">
        <is>
          <t>CUST024</t>
        </is>
      </c>
      <c r="B28" s="9" t="inlineStr">
        <is>
          <t>Emma Davis</t>
        </is>
      </c>
      <c r="C28" s="11" t="n">
        <v>1526.6</v>
      </c>
    </row>
    <row r="29">
      <c r="A29" s="7" t="inlineStr">
        <is>
          <t>CUST006</t>
        </is>
      </c>
      <c r="B29" s="9" t="inlineStr">
        <is>
          <t>Mary Jackson</t>
        </is>
      </c>
      <c r="C29" s="11" t="n">
        <v>1506.14</v>
      </c>
    </row>
    <row r="30">
      <c r="A30" s="7" t="inlineStr">
        <is>
          <t>CUST005</t>
        </is>
      </c>
      <c r="B30" s="9" t="inlineStr">
        <is>
          <t>Sarah Anderson</t>
        </is>
      </c>
      <c r="C30" s="11" t="n">
        <v>1502.93</v>
      </c>
    </row>
    <row r="31">
      <c r="A31" s="7" t="inlineStr">
        <is>
          <t>CUST027</t>
        </is>
      </c>
      <c r="B31" s="9" t="inlineStr">
        <is>
          <t>Linda Wilson</t>
        </is>
      </c>
      <c r="C31" s="11" t="n">
        <v>1488.58</v>
      </c>
    </row>
    <row r="32">
      <c r="A32" s="7" t="inlineStr">
        <is>
          <t>CUST024</t>
        </is>
      </c>
      <c r="B32" s="9" t="inlineStr">
        <is>
          <t>David Thomas</t>
        </is>
      </c>
      <c r="C32" s="11" t="n">
        <v>1465.35</v>
      </c>
    </row>
    <row r="33">
      <c r="A33" s="7" t="inlineStr">
        <is>
          <t>CUST027</t>
        </is>
      </c>
      <c r="B33" s="9" t="inlineStr">
        <is>
          <t>Emma Davis</t>
        </is>
      </c>
      <c r="C33" s="11" t="n">
        <v>1461.38</v>
      </c>
    </row>
    <row r="34">
      <c r="A34" s="7" t="inlineStr">
        <is>
          <t>CUST018</t>
        </is>
      </c>
      <c r="B34" s="9" t="inlineStr">
        <is>
          <t>David Anderson</t>
        </is>
      </c>
      <c r="C34" s="11" t="n">
        <v>1456.94</v>
      </c>
    </row>
    <row r="35">
      <c r="A35" s="7" t="inlineStr">
        <is>
          <t>CUST025</t>
        </is>
      </c>
      <c r="B35" s="9" t="inlineStr">
        <is>
          <t>David Brown</t>
        </is>
      </c>
      <c r="C35" s="11" t="n">
        <v>1450.71</v>
      </c>
    </row>
    <row r="36">
      <c r="A36" s="7" t="inlineStr">
        <is>
          <t>CUST004</t>
        </is>
      </c>
      <c r="B36" s="9" t="inlineStr">
        <is>
          <t>Sarah Davis</t>
        </is>
      </c>
      <c r="C36" s="11" t="n">
        <v>1443.98</v>
      </c>
    </row>
    <row r="37">
      <c r="A37" s="7" t="inlineStr">
        <is>
          <t>CUST001</t>
        </is>
      </c>
      <c r="B37" s="9" t="inlineStr">
        <is>
          <t>Michael Anderson</t>
        </is>
      </c>
      <c r="C37" s="11" t="n">
        <v>1432.47</v>
      </c>
    </row>
    <row r="38">
      <c r="A38" s="7" t="inlineStr">
        <is>
          <t>CUST002</t>
        </is>
      </c>
      <c r="B38" s="9" t="inlineStr">
        <is>
          <t>Linda Brown</t>
        </is>
      </c>
      <c r="C38" s="11" t="n">
        <v>1410.59</v>
      </c>
    </row>
    <row r="39">
      <c r="A39" s="7" t="inlineStr">
        <is>
          <t>CUST021</t>
        </is>
      </c>
      <c r="B39" s="9" t="inlineStr">
        <is>
          <t>Mary Davis</t>
        </is>
      </c>
      <c r="C39" s="11" t="n">
        <v>1383.3</v>
      </c>
    </row>
    <row r="40">
      <c r="A40" s="7" t="inlineStr">
        <is>
          <t>CUST020</t>
        </is>
      </c>
      <c r="B40" s="9" t="inlineStr">
        <is>
          <t>David Brown</t>
        </is>
      </c>
      <c r="C40" s="11" t="n">
        <v>1371.34</v>
      </c>
    </row>
    <row r="41">
      <c r="A41" s="7" t="inlineStr">
        <is>
          <t>CUST012</t>
        </is>
      </c>
      <c r="B41" s="9" t="inlineStr">
        <is>
          <t>Mary Wilson</t>
        </is>
      </c>
      <c r="C41" s="11" t="n">
        <v>1360.36</v>
      </c>
    </row>
    <row r="42">
      <c r="A42" s="7" t="inlineStr">
        <is>
          <t>CUST022</t>
        </is>
      </c>
      <c r="B42" s="9" t="inlineStr">
        <is>
          <t>James Wilson</t>
        </is>
      </c>
      <c r="C42" s="11" t="n">
        <v>1353.79</v>
      </c>
    </row>
    <row r="43">
      <c r="A43" s="7" t="inlineStr">
        <is>
          <t>CUST009</t>
        </is>
      </c>
      <c r="B43" s="9" t="inlineStr">
        <is>
          <t>Emma Wilson</t>
        </is>
      </c>
      <c r="C43" s="11" t="n">
        <v>1350.33</v>
      </c>
    </row>
    <row r="44">
      <c r="A44" s="7" t="inlineStr">
        <is>
          <t>CUST014</t>
        </is>
      </c>
      <c r="B44" s="9" t="inlineStr">
        <is>
          <t>David Thomas</t>
        </is>
      </c>
      <c r="C44" s="11" t="n">
        <v>1343.13</v>
      </c>
    </row>
    <row r="45">
      <c r="A45" s="7" t="inlineStr">
        <is>
          <t>CUST001</t>
        </is>
      </c>
      <c r="B45" s="9" t="inlineStr">
        <is>
          <t>Linda Wilson</t>
        </is>
      </c>
      <c r="C45" s="11" t="n">
        <v>1317.53</v>
      </c>
    </row>
    <row r="46">
      <c r="A46" s="7" t="inlineStr">
        <is>
          <t>CUST004</t>
        </is>
      </c>
      <c r="B46" s="9" t="inlineStr">
        <is>
          <t>James Davis</t>
        </is>
      </c>
      <c r="C46" s="11" t="n">
        <v>1311.26</v>
      </c>
    </row>
    <row r="47">
      <c r="A47" s="7" t="inlineStr">
        <is>
          <t>CUST019</t>
        </is>
      </c>
      <c r="B47" s="9" t="inlineStr">
        <is>
          <t>Linda Jackson</t>
        </is>
      </c>
      <c r="C47" s="11" t="n">
        <v>1301.89</v>
      </c>
    </row>
    <row r="48">
      <c r="A48" s="7" t="inlineStr">
        <is>
          <t>CUST025</t>
        </is>
      </c>
      <c r="B48" s="9" t="inlineStr">
        <is>
          <t>Mary Jackson</t>
        </is>
      </c>
      <c r="C48" s="11" t="n">
        <v>1286.54</v>
      </c>
    </row>
    <row r="49">
      <c r="A49" s="7" t="inlineStr">
        <is>
          <t>CUST004</t>
        </is>
      </c>
      <c r="B49" s="9" t="inlineStr">
        <is>
          <t>James Taylor</t>
        </is>
      </c>
      <c r="C49" s="11" t="n">
        <v>1277.85</v>
      </c>
    </row>
    <row r="50">
      <c r="A50" s="7" t="inlineStr">
        <is>
          <t>CUST022</t>
        </is>
      </c>
      <c r="B50" s="9" t="inlineStr">
        <is>
          <t>Linda Brown</t>
        </is>
      </c>
      <c r="C50" s="11" t="n">
        <v>1264.49</v>
      </c>
    </row>
    <row r="51">
      <c r="A51" s="7" t="inlineStr">
        <is>
          <t>CUST005</t>
        </is>
      </c>
      <c r="B51" s="9" t="inlineStr">
        <is>
          <t>Linda Taylor</t>
        </is>
      </c>
      <c r="C51" s="11" t="n">
        <v>1261.34</v>
      </c>
    </row>
    <row r="52">
      <c r="A52" s="7" t="inlineStr">
        <is>
          <t>CUST008</t>
        </is>
      </c>
      <c r="B52" s="9" t="inlineStr">
        <is>
          <t>Mary Davis</t>
        </is>
      </c>
      <c r="C52" s="11" t="n">
        <v>1250.71</v>
      </c>
    </row>
    <row r="53">
      <c r="A53" s="7" t="inlineStr">
        <is>
          <t>CUST013</t>
        </is>
      </c>
      <c r="B53" s="9" t="inlineStr">
        <is>
          <t>Linda Wilson</t>
        </is>
      </c>
      <c r="C53" s="11" t="n">
        <v>1249.1</v>
      </c>
    </row>
    <row r="54">
      <c r="A54" s="7" t="inlineStr">
        <is>
          <t>CUST026</t>
        </is>
      </c>
      <c r="B54" s="9" t="inlineStr">
        <is>
          <t>Emma Taylor</t>
        </is>
      </c>
      <c r="C54" s="11" t="n">
        <v>1231.26</v>
      </c>
    </row>
    <row r="55">
      <c r="A55" s="7" t="inlineStr">
        <is>
          <t>CUST026</t>
        </is>
      </c>
      <c r="B55" s="9" t="inlineStr">
        <is>
          <t>Emma Wilson</t>
        </is>
      </c>
      <c r="C55" s="11" t="n">
        <v>1227.25</v>
      </c>
    </row>
    <row r="56">
      <c r="A56" s="7" t="inlineStr">
        <is>
          <t>CUST025</t>
        </is>
      </c>
      <c r="B56" s="9" t="inlineStr">
        <is>
          <t>David Davis</t>
        </is>
      </c>
      <c r="C56" s="11" t="n">
        <v>1225.42</v>
      </c>
    </row>
    <row r="57">
      <c r="A57" s="7" t="inlineStr">
        <is>
          <t>CUST012</t>
        </is>
      </c>
      <c r="B57" s="9" t="inlineStr">
        <is>
          <t>Linda Wilson</t>
        </is>
      </c>
      <c r="C57" s="11" t="n">
        <v>1215.26</v>
      </c>
    </row>
    <row r="58">
      <c r="A58" s="7" t="inlineStr">
        <is>
          <t>CUST011</t>
        </is>
      </c>
      <c r="B58" s="9" t="inlineStr">
        <is>
          <t>Emma Wilson</t>
        </is>
      </c>
      <c r="C58" s="11" t="n">
        <v>1213.48</v>
      </c>
    </row>
    <row r="59">
      <c r="A59" s="7" t="inlineStr">
        <is>
          <t>CUST015</t>
        </is>
      </c>
      <c r="B59" s="9" t="inlineStr">
        <is>
          <t>Linda Taylor</t>
        </is>
      </c>
      <c r="C59" s="11" t="n">
        <v>1200.9</v>
      </c>
    </row>
    <row r="60">
      <c r="A60" s="7" t="inlineStr">
        <is>
          <t>CUST006</t>
        </is>
      </c>
      <c r="B60" s="9" t="inlineStr">
        <is>
          <t>David Anderson</t>
        </is>
      </c>
      <c r="C60" s="11" t="n">
        <v>1193.61</v>
      </c>
    </row>
    <row r="61">
      <c r="A61" s="7" t="inlineStr">
        <is>
          <t>CUST009</t>
        </is>
      </c>
      <c r="B61" s="9" t="inlineStr">
        <is>
          <t>Mary Davis</t>
        </is>
      </c>
      <c r="C61" s="11" t="n">
        <v>1189.83</v>
      </c>
    </row>
    <row r="62">
      <c r="A62" s="7" t="inlineStr">
        <is>
          <t>CUST021</t>
        </is>
      </c>
      <c r="B62" s="9" t="inlineStr">
        <is>
          <t>Michael Anderson</t>
        </is>
      </c>
      <c r="C62" s="11" t="n">
        <v>1186.85</v>
      </c>
    </row>
    <row r="63">
      <c r="A63" s="7" t="inlineStr">
        <is>
          <t>CUST009</t>
        </is>
      </c>
      <c r="B63" s="9" t="inlineStr">
        <is>
          <t>Michael Anderson</t>
        </is>
      </c>
      <c r="C63" s="11" t="n">
        <v>1184.25</v>
      </c>
    </row>
    <row r="64">
      <c r="A64" s="7" t="inlineStr">
        <is>
          <t>CUST010</t>
        </is>
      </c>
      <c r="B64" s="9" t="inlineStr">
        <is>
          <t>Linda Brown</t>
        </is>
      </c>
      <c r="C64" s="11" t="n">
        <v>1173.12</v>
      </c>
    </row>
    <row r="65">
      <c r="A65" s="7" t="inlineStr">
        <is>
          <t>CUST013</t>
        </is>
      </c>
      <c r="B65" s="9" t="inlineStr">
        <is>
          <t>Mary Wilson</t>
        </is>
      </c>
      <c r="C65" s="11" t="n">
        <v>1171.18</v>
      </c>
    </row>
    <row r="66">
      <c r="A66" s="7" t="inlineStr">
        <is>
          <t>CUST026</t>
        </is>
      </c>
      <c r="B66" s="9" t="inlineStr">
        <is>
          <t>Sarah Anderson</t>
        </is>
      </c>
      <c r="C66" s="11" t="n">
        <v>1161.67</v>
      </c>
    </row>
    <row r="67">
      <c r="A67" s="7" t="inlineStr">
        <is>
          <t>CUST023</t>
        </is>
      </c>
      <c r="B67" s="9" t="inlineStr">
        <is>
          <t>James Wilson</t>
        </is>
      </c>
      <c r="C67" s="11" t="n">
        <v>1154.33</v>
      </c>
    </row>
    <row r="68">
      <c r="A68" s="7" t="inlineStr">
        <is>
          <t>CUST005</t>
        </is>
      </c>
      <c r="B68" s="9" t="inlineStr">
        <is>
          <t>David Smith</t>
        </is>
      </c>
      <c r="C68" s="11" t="n">
        <v>1151.21</v>
      </c>
    </row>
    <row r="69">
      <c r="A69" s="7" t="inlineStr">
        <is>
          <t>CUST021</t>
        </is>
      </c>
      <c r="B69" s="9" t="inlineStr">
        <is>
          <t>Emma Davis</t>
        </is>
      </c>
      <c r="C69" s="11" t="n">
        <v>1150.28</v>
      </c>
    </row>
    <row r="70">
      <c r="A70" s="7" t="inlineStr">
        <is>
          <t>CUST020</t>
        </is>
      </c>
      <c r="B70" s="9" t="inlineStr">
        <is>
          <t>Linda Jackson</t>
        </is>
      </c>
      <c r="C70" s="11" t="n">
        <v>1143.69</v>
      </c>
    </row>
    <row r="71">
      <c r="A71" s="7" t="inlineStr">
        <is>
          <t>CUST023</t>
        </is>
      </c>
      <c r="B71" s="9" t="inlineStr">
        <is>
          <t>James Taylor</t>
        </is>
      </c>
      <c r="C71" s="11" t="n">
        <v>1118.34</v>
      </c>
    </row>
    <row r="72">
      <c r="A72" s="7" t="inlineStr">
        <is>
          <t>CUST026</t>
        </is>
      </c>
      <c r="B72" s="9" t="inlineStr">
        <is>
          <t>Linda Wilson</t>
        </is>
      </c>
      <c r="C72" s="11" t="n">
        <v>1111.34</v>
      </c>
    </row>
    <row r="73">
      <c r="A73" s="7" t="inlineStr">
        <is>
          <t>CUST007</t>
        </is>
      </c>
      <c r="B73" s="9" t="inlineStr">
        <is>
          <t>Emma Taylor</t>
        </is>
      </c>
      <c r="C73" s="11" t="n">
        <v>1101.55</v>
      </c>
    </row>
    <row r="74">
      <c r="A74" s="7" t="inlineStr">
        <is>
          <t>CUST012</t>
        </is>
      </c>
      <c r="B74" s="9" t="inlineStr">
        <is>
          <t>Robert Anderson</t>
        </is>
      </c>
      <c r="C74" s="11" t="n">
        <v>1101.28</v>
      </c>
    </row>
    <row r="75">
      <c r="A75" s="7" t="inlineStr">
        <is>
          <t>CUST004</t>
        </is>
      </c>
      <c r="B75" s="9" t="inlineStr">
        <is>
          <t>Linda Wilson</t>
        </is>
      </c>
      <c r="C75" s="11" t="n">
        <v>1099.69</v>
      </c>
    </row>
    <row r="76">
      <c r="A76" s="7" t="inlineStr">
        <is>
          <t>CUST015</t>
        </is>
      </c>
      <c r="B76" s="9" t="inlineStr">
        <is>
          <t>Lisa Thomas</t>
        </is>
      </c>
      <c r="C76" s="11" t="n">
        <v>1098.08</v>
      </c>
    </row>
    <row r="77">
      <c r="A77" s="7" t="inlineStr">
        <is>
          <t>CUST008</t>
        </is>
      </c>
      <c r="B77" s="9" t="inlineStr">
        <is>
          <t>Emma Wilson</t>
        </is>
      </c>
      <c r="C77" s="11" t="n">
        <v>1093.38</v>
      </c>
    </row>
    <row r="78">
      <c r="A78" s="7" t="inlineStr">
        <is>
          <t>CUST030</t>
        </is>
      </c>
      <c r="B78" s="9" t="inlineStr">
        <is>
          <t>Sarah Davis</t>
        </is>
      </c>
      <c r="C78" s="11" t="n">
        <v>1086.93</v>
      </c>
    </row>
    <row r="79">
      <c r="A79" s="7" t="inlineStr">
        <is>
          <t>CUST008</t>
        </is>
      </c>
      <c r="B79" s="9" t="inlineStr">
        <is>
          <t>Lisa Thomas</t>
        </is>
      </c>
      <c r="C79" s="11" t="n">
        <v>1076.33</v>
      </c>
    </row>
    <row r="80">
      <c r="A80" s="7" t="inlineStr">
        <is>
          <t>CUST005</t>
        </is>
      </c>
      <c r="B80" s="9" t="inlineStr">
        <is>
          <t>Lisa Davis</t>
        </is>
      </c>
      <c r="C80" s="11" t="n">
        <v>1070.68</v>
      </c>
    </row>
    <row r="81">
      <c r="A81" s="7" t="inlineStr">
        <is>
          <t>CUST018</t>
        </is>
      </c>
      <c r="B81" s="9" t="inlineStr">
        <is>
          <t>Lisa Thomas</t>
        </is>
      </c>
      <c r="C81" s="11" t="n">
        <v>1061.04</v>
      </c>
    </row>
    <row r="82">
      <c r="A82" s="7" t="inlineStr">
        <is>
          <t>CUST015</t>
        </is>
      </c>
      <c r="B82" s="9" t="inlineStr">
        <is>
          <t>Robert Anderson</t>
        </is>
      </c>
      <c r="C82" s="11" t="n">
        <v>1054.56</v>
      </c>
    </row>
    <row r="83">
      <c r="A83" s="7" t="inlineStr">
        <is>
          <t>CUST019</t>
        </is>
      </c>
      <c r="B83" s="9" t="inlineStr">
        <is>
          <t>James Davis</t>
        </is>
      </c>
      <c r="C83" s="11" t="n">
        <v>1036.09</v>
      </c>
    </row>
    <row r="84">
      <c r="A84" s="7" t="inlineStr">
        <is>
          <t>CUST026</t>
        </is>
      </c>
      <c r="B84" s="9" t="inlineStr">
        <is>
          <t>David Brown</t>
        </is>
      </c>
      <c r="C84" s="11" t="n">
        <v>1029.8</v>
      </c>
    </row>
    <row r="85">
      <c r="A85" s="7" t="inlineStr">
        <is>
          <t>CUST022</t>
        </is>
      </c>
      <c r="B85" s="9" t="inlineStr">
        <is>
          <t>David Davis</t>
        </is>
      </c>
      <c r="C85" s="11" t="n">
        <v>1023.21</v>
      </c>
    </row>
    <row r="86">
      <c r="A86" s="7" t="inlineStr">
        <is>
          <t>CUST017</t>
        </is>
      </c>
      <c r="B86" s="9" t="inlineStr">
        <is>
          <t>Mary Davis</t>
        </is>
      </c>
      <c r="C86" s="11" t="n">
        <v>1022.23</v>
      </c>
    </row>
    <row r="87">
      <c r="A87" s="7" t="inlineStr">
        <is>
          <t>CUST007</t>
        </is>
      </c>
      <c r="B87" s="9" t="inlineStr">
        <is>
          <t>Linda Jackson</t>
        </is>
      </c>
      <c r="C87" s="11" t="n">
        <v>1021.47</v>
      </c>
    </row>
    <row r="88">
      <c r="A88" s="7" t="inlineStr">
        <is>
          <t>CUST021</t>
        </is>
      </c>
      <c r="B88" s="9" t="inlineStr">
        <is>
          <t>Mary Jackson</t>
        </is>
      </c>
      <c r="C88" s="11" t="n">
        <v>1020.26</v>
      </c>
    </row>
    <row r="89">
      <c r="A89" s="7" t="inlineStr">
        <is>
          <t>CUST025</t>
        </is>
      </c>
      <c r="B89" s="9" t="inlineStr">
        <is>
          <t>Lisa Thomas</t>
        </is>
      </c>
      <c r="C89" s="11" t="n">
        <v>1014.56</v>
      </c>
    </row>
    <row r="90">
      <c r="A90" s="7" t="inlineStr">
        <is>
          <t>CUST013</t>
        </is>
      </c>
      <c r="B90" s="9" t="inlineStr">
        <is>
          <t>Linda Taylor</t>
        </is>
      </c>
      <c r="C90" s="11" t="n">
        <v>1014.43</v>
      </c>
    </row>
    <row r="91">
      <c r="A91" s="7" t="inlineStr">
        <is>
          <t>CUST008</t>
        </is>
      </c>
      <c r="B91" s="9" t="inlineStr">
        <is>
          <t>David Davis</t>
        </is>
      </c>
      <c r="C91" s="11" t="n">
        <v>1014.09</v>
      </c>
    </row>
    <row r="92">
      <c r="A92" s="7" t="inlineStr">
        <is>
          <t>CUST025</t>
        </is>
      </c>
      <c r="B92" s="9" t="inlineStr">
        <is>
          <t>Lisa Davis</t>
        </is>
      </c>
      <c r="C92" s="11" t="n">
        <v>1010.58</v>
      </c>
    </row>
    <row r="93">
      <c r="A93" s="7" t="inlineStr">
        <is>
          <t>CUST011</t>
        </is>
      </c>
      <c r="B93" s="9" t="inlineStr">
        <is>
          <t>Mary Davis</t>
        </is>
      </c>
      <c r="C93" s="11" t="n">
        <v>1001.57</v>
      </c>
    </row>
    <row r="94">
      <c r="A94" s="7" t="inlineStr">
        <is>
          <t>CUST016</t>
        </is>
      </c>
      <c r="B94" s="9" t="inlineStr">
        <is>
          <t>Michael Anderson</t>
        </is>
      </c>
      <c r="C94" s="11" t="n">
        <v>990.1900000000001</v>
      </c>
    </row>
    <row r="95">
      <c r="A95" s="7" t="inlineStr">
        <is>
          <t>CUST021</t>
        </is>
      </c>
      <c r="B95" s="9" t="inlineStr">
        <is>
          <t>David Brown</t>
        </is>
      </c>
      <c r="C95" s="11" t="n">
        <v>984.9299999999999</v>
      </c>
    </row>
    <row r="96">
      <c r="A96" s="7" t="inlineStr">
        <is>
          <t>CUST028</t>
        </is>
      </c>
      <c r="B96" s="9" t="inlineStr">
        <is>
          <t>Linda Taylor</t>
        </is>
      </c>
      <c r="C96" s="11" t="n">
        <v>983.34</v>
      </c>
    </row>
    <row r="97">
      <c r="A97" s="7" t="inlineStr">
        <is>
          <t>CUST020</t>
        </is>
      </c>
      <c r="B97" s="9" t="inlineStr">
        <is>
          <t>Linda Moore</t>
        </is>
      </c>
      <c r="C97" s="11" t="n">
        <v>981.2</v>
      </c>
    </row>
    <row r="98">
      <c r="A98" s="7" t="inlineStr">
        <is>
          <t>CUST024</t>
        </is>
      </c>
      <c r="B98" s="9" t="inlineStr">
        <is>
          <t>Emma Taylor</t>
        </is>
      </c>
      <c r="C98" s="11" t="n">
        <v>980.1799999999999</v>
      </c>
    </row>
    <row r="99">
      <c r="A99" s="7" t="inlineStr">
        <is>
          <t>CUST030</t>
        </is>
      </c>
      <c r="B99" s="9" t="inlineStr">
        <is>
          <t>Emma Taylor</t>
        </is>
      </c>
      <c r="C99" s="11" t="n">
        <v>973.26</v>
      </c>
    </row>
    <row r="100">
      <c r="A100" s="7" t="inlineStr">
        <is>
          <t>CUST021</t>
        </is>
      </c>
      <c r="B100" s="9" t="inlineStr">
        <is>
          <t>Sarah Anderson</t>
        </is>
      </c>
      <c r="C100" s="11" t="n">
        <v>967.89</v>
      </c>
    </row>
    <row r="101">
      <c r="A101" s="7" t="inlineStr">
        <is>
          <t>CUST018</t>
        </is>
      </c>
      <c r="B101" s="9" t="inlineStr">
        <is>
          <t>Mary Jackson</t>
        </is>
      </c>
      <c r="C101" s="11" t="n">
        <v>966.3</v>
      </c>
    </row>
    <row r="102">
      <c r="A102" s="7" t="inlineStr">
        <is>
          <t>CUST014</t>
        </is>
      </c>
      <c r="B102" s="9" t="inlineStr">
        <is>
          <t>Sarah Davis</t>
        </is>
      </c>
      <c r="C102" s="11" t="n">
        <v>961.62</v>
      </c>
    </row>
    <row r="103">
      <c r="A103" s="7" t="inlineStr">
        <is>
          <t>CUST026</t>
        </is>
      </c>
      <c r="B103" s="9" t="inlineStr">
        <is>
          <t>Mary Wilson</t>
        </is>
      </c>
      <c r="C103" s="11" t="n">
        <v>957.29</v>
      </c>
    </row>
    <row r="104">
      <c r="A104" s="7" t="inlineStr">
        <is>
          <t>CUST027</t>
        </is>
      </c>
      <c r="B104" s="9" t="inlineStr">
        <is>
          <t>James Wilson</t>
        </is>
      </c>
      <c r="C104" s="11" t="n">
        <v>956.08</v>
      </c>
    </row>
    <row r="105">
      <c r="A105" s="7" t="inlineStr">
        <is>
          <t>CUST007</t>
        </is>
      </c>
      <c r="B105" s="9" t="inlineStr">
        <is>
          <t>Lisa Davis</t>
        </is>
      </c>
      <c r="C105" s="11" t="n">
        <v>953.3</v>
      </c>
    </row>
    <row r="106">
      <c r="A106" s="7" t="inlineStr">
        <is>
          <t>CUST007</t>
        </is>
      </c>
      <c r="B106" s="9" t="inlineStr">
        <is>
          <t>Robert Anderson</t>
        </is>
      </c>
      <c r="C106" s="11" t="n">
        <v>939.09</v>
      </c>
    </row>
    <row r="107">
      <c r="A107" s="7" t="inlineStr">
        <is>
          <t>CUST014</t>
        </is>
      </c>
      <c r="B107" s="9" t="inlineStr">
        <is>
          <t>Sarah Anderson</t>
        </is>
      </c>
      <c r="C107" s="11" t="n">
        <v>934.27</v>
      </c>
    </row>
    <row r="108">
      <c r="A108" s="7" t="inlineStr">
        <is>
          <t>CUST016</t>
        </is>
      </c>
      <c r="B108" s="9" t="inlineStr">
        <is>
          <t>David Thomas</t>
        </is>
      </c>
      <c r="C108" s="11" t="n">
        <v>928.3200000000001</v>
      </c>
    </row>
    <row r="109">
      <c r="A109" s="7" t="inlineStr">
        <is>
          <t>CUST012</t>
        </is>
      </c>
      <c r="B109" s="9" t="inlineStr">
        <is>
          <t>Mary Davis</t>
        </is>
      </c>
      <c r="C109" s="11" t="n">
        <v>925.3099999999999</v>
      </c>
    </row>
    <row r="110">
      <c r="A110" s="7" t="inlineStr">
        <is>
          <t>CUST012</t>
        </is>
      </c>
      <c r="B110" s="9" t="inlineStr">
        <is>
          <t>Lisa Davis</t>
        </is>
      </c>
      <c r="C110" s="11" t="n">
        <v>925.29</v>
      </c>
    </row>
    <row r="111">
      <c r="A111" s="7" t="inlineStr">
        <is>
          <t>CUST029</t>
        </is>
      </c>
      <c r="B111" s="9" t="inlineStr">
        <is>
          <t>Lisa Thomas</t>
        </is>
      </c>
      <c r="C111" s="11" t="n">
        <v>919.1799999999999</v>
      </c>
    </row>
    <row r="112">
      <c r="A112" s="7" t="inlineStr">
        <is>
          <t>CUST020</t>
        </is>
      </c>
      <c r="B112" s="9" t="inlineStr">
        <is>
          <t>James Taylor</t>
        </is>
      </c>
      <c r="C112" s="11" t="n">
        <v>917.48</v>
      </c>
    </row>
    <row r="113">
      <c r="A113" s="7" t="inlineStr">
        <is>
          <t>CUST001</t>
        </is>
      </c>
      <c r="B113" s="9" t="inlineStr">
        <is>
          <t>Sarah Anderson</t>
        </is>
      </c>
      <c r="C113" s="11" t="n">
        <v>894.55</v>
      </c>
    </row>
    <row r="114">
      <c r="A114" s="7" t="inlineStr">
        <is>
          <t>CUST011</t>
        </is>
      </c>
      <c r="B114" s="9" t="inlineStr">
        <is>
          <t>Linda Wilson</t>
        </is>
      </c>
      <c r="C114" s="11" t="n">
        <v>884.63</v>
      </c>
    </row>
    <row r="115">
      <c r="A115" s="7" t="inlineStr">
        <is>
          <t>CUST008</t>
        </is>
      </c>
      <c r="B115" s="9" t="inlineStr">
        <is>
          <t>Robert Anderson</t>
        </is>
      </c>
      <c r="C115" s="11" t="n">
        <v>877.58</v>
      </c>
    </row>
    <row r="116">
      <c r="A116" s="7" t="inlineStr">
        <is>
          <t>CUST002</t>
        </is>
      </c>
      <c r="B116" s="9" t="inlineStr">
        <is>
          <t>Mary Davis</t>
        </is>
      </c>
      <c r="C116" s="11" t="n">
        <v>876.4400000000001</v>
      </c>
    </row>
    <row r="117">
      <c r="A117" s="7" t="inlineStr">
        <is>
          <t>CUST023</t>
        </is>
      </c>
      <c r="B117" s="9" t="inlineStr">
        <is>
          <t>David Brown</t>
        </is>
      </c>
      <c r="C117" s="11" t="n">
        <v>873.7</v>
      </c>
    </row>
    <row r="118">
      <c r="A118" s="7" t="inlineStr">
        <is>
          <t>CUST016</t>
        </is>
      </c>
      <c r="B118" s="9" t="inlineStr">
        <is>
          <t>James Taylor</t>
        </is>
      </c>
      <c r="C118" s="11" t="n">
        <v>870.23</v>
      </c>
    </row>
    <row r="119">
      <c r="A119" s="7" t="inlineStr">
        <is>
          <t>CUST029</t>
        </is>
      </c>
      <c r="B119" s="9" t="inlineStr">
        <is>
          <t>David Brown</t>
        </is>
      </c>
      <c r="C119" s="11" t="n">
        <v>864.98</v>
      </c>
    </row>
    <row r="120">
      <c r="A120" s="7" t="inlineStr">
        <is>
          <t>CUST010</t>
        </is>
      </c>
      <c r="B120" s="9" t="inlineStr">
        <is>
          <t>Linda Wilson</t>
        </is>
      </c>
      <c r="C120" s="11" t="n">
        <v>862.1900000000001</v>
      </c>
    </row>
    <row r="121">
      <c r="A121" s="7" t="inlineStr">
        <is>
          <t>CUST017</t>
        </is>
      </c>
      <c r="B121" s="9" t="inlineStr">
        <is>
          <t>Linda Davis</t>
        </is>
      </c>
      <c r="C121" s="11" t="n">
        <v>856.7</v>
      </c>
    </row>
    <row r="122">
      <c r="A122" s="7" t="inlineStr">
        <is>
          <t>CUST014</t>
        </is>
      </c>
      <c r="B122" s="9" t="inlineStr">
        <is>
          <t>David Anderson</t>
        </is>
      </c>
      <c r="C122" s="11" t="n">
        <v>853.86</v>
      </c>
    </row>
    <row r="123">
      <c r="A123" s="7" t="inlineStr">
        <is>
          <t>CUST001</t>
        </is>
      </c>
      <c r="B123" s="9" t="inlineStr">
        <is>
          <t>Mary Jackson</t>
        </is>
      </c>
      <c r="C123" s="11" t="n">
        <v>853.72</v>
      </c>
    </row>
    <row r="124">
      <c r="A124" s="7" t="inlineStr">
        <is>
          <t>CUST030</t>
        </is>
      </c>
      <c r="B124" s="9" t="inlineStr">
        <is>
          <t>James Wilson</t>
        </is>
      </c>
      <c r="C124" s="11" t="n">
        <v>847</v>
      </c>
    </row>
    <row r="125">
      <c r="A125" s="7" t="inlineStr">
        <is>
          <t>CUST012</t>
        </is>
      </c>
      <c r="B125" s="9" t="inlineStr">
        <is>
          <t>Lisa Thomas</t>
        </is>
      </c>
      <c r="C125" s="11" t="n">
        <v>845.84</v>
      </c>
    </row>
    <row r="126">
      <c r="A126" s="7" t="inlineStr">
        <is>
          <t>CUST019</t>
        </is>
      </c>
      <c r="B126" s="9" t="inlineStr">
        <is>
          <t>David Brown</t>
        </is>
      </c>
      <c r="C126" s="11" t="n">
        <v>840.92</v>
      </c>
    </row>
    <row r="127">
      <c r="A127" s="7" t="inlineStr">
        <is>
          <t>CUST007</t>
        </is>
      </c>
      <c r="B127" s="9" t="inlineStr">
        <is>
          <t>Emma Davis</t>
        </is>
      </c>
      <c r="C127" s="11" t="n">
        <v>833.91</v>
      </c>
    </row>
    <row r="128">
      <c r="A128" s="7" t="inlineStr">
        <is>
          <t>CUST018</t>
        </is>
      </c>
      <c r="B128" s="9" t="inlineStr">
        <is>
          <t>Mary Davis</t>
        </is>
      </c>
      <c r="C128" s="11" t="n">
        <v>826.97</v>
      </c>
    </row>
    <row r="129">
      <c r="A129" s="7" t="inlineStr">
        <is>
          <t>CUST017</t>
        </is>
      </c>
      <c r="B129" s="9" t="inlineStr">
        <is>
          <t>Sarah Davis</t>
        </is>
      </c>
      <c r="C129" s="11" t="n">
        <v>826.9299999999999</v>
      </c>
    </row>
    <row r="130">
      <c r="A130" s="7" t="inlineStr">
        <is>
          <t>CUST023</t>
        </is>
      </c>
      <c r="B130" s="9" t="inlineStr">
        <is>
          <t>Robert Anderson</t>
        </is>
      </c>
      <c r="C130" s="11" t="n">
        <v>822.28</v>
      </c>
    </row>
    <row r="131">
      <c r="A131" s="7" t="inlineStr">
        <is>
          <t>CUST015</t>
        </is>
      </c>
      <c r="B131" s="9" t="inlineStr">
        <is>
          <t>David Anderson</t>
        </is>
      </c>
      <c r="C131" s="11" t="n">
        <v>820.1900000000001</v>
      </c>
    </row>
    <row r="132">
      <c r="A132" s="7" t="inlineStr">
        <is>
          <t>CUST002</t>
        </is>
      </c>
      <c r="B132" s="9" t="inlineStr">
        <is>
          <t>Emma Wilson</t>
        </is>
      </c>
      <c r="C132" s="11" t="n">
        <v>806.03</v>
      </c>
    </row>
    <row r="133">
      <c r="A133" s="7" t="inlineStr">
        <is>
          <t>CUST008</t>
        </is>
      </c>
      <c r="B133" s="9" t="inlineStr">
        <is>
          <t>James Davis</t>
        </is>
      </c>
      <c r="C133" s="11" t="n">
        <v>804.8099999999999</v>
      </c>
    </row>
    <row r="134">
      <c r="A134" s="7" t="inlineStr">
        <is>
          <t>CUST012</t>
        </is>
      </c>
      <c r="B134" s="9" t="inlineStr">
        <is>
          <t>David Anderson</t>
        </is>
      </c>
      <c r="C134" s="11" t="n">
        <v>804.45</v>
      </c>
    </row>
    <row r="135">
      <c r="A135" s="7" t="inlineStr">
        <is>
          <t>CUST008</t>
        </is>
      </c>
      <c r="B135" s="9" t="inlineStr">
        <is>
          <t>John Brown</t>
        </is>
      </c>
      <c r="C135" s="11" t="n">
        <v>775.45</v>
      </c>
    </row>
    <row r="136">
      <c r="A136" s="7" t="inlineStr">
        <is>
          <t>CUST008</t>
        </is>
      </c>
      <c r="B136" s="9" t="inlineStr">
        <is>
          <t>Mary Wilson</t>
        </is>
      </c>
      <c r="C136" s="11" t="n">
        <v>773.09</v>
      </c>
    </row>
    <row r="137">
      <c r="A137" s="7" t="inlineStr">
        <is>
          <t>CUST007</t>
        </is>
      </c>
      <c r="B137" s="9" t="inlineStr">
        <is>
          <t>James Davis</t>
        </is>
      </c>
      <c r="C137" s="11" t="n">
        <v>762.14</v>
      </c>
    </row>
    <row r="138">
      <c r="A138" s="7" t="inlineStr">
        <is>
          <t>CUST030</t>
        </is>
      </c>
      <c r="B138" s="9" t="inlineStr">
        <is>
          <t>Linda Taylor</t>
        </is>
      </c>
      <c r="C138" s="11" t="n">
        <v>750.71</v>
      </c>
    </row>
    <row r="139">
      <c r="A139" s="7" t="inlineStr">
        <is>
          <t>CUST019</t>
        </is>
      </c>
      <c r="B139" s="9" t="inlineStr">
        <is>
          <t>Mary Davis</t>
        </is>
      </c>
      <c r="C139" s="11" t="n">
        <v>743.17</v>
      </c>
    </row>
    <row r="140">
      <c r="A140" s="7" t="inlineStr">
        <is>
          <t>CUST024</t>
        </is>
      </c>
      <c r="B140" s="9" t="inlineStr">
        <is>
          <t>Linda Wilson</t>
        </is>
      </c>
      <c r="C140" s="11" t="n">
        <v>741.88</v>
      </c>
    </row>
    <row r="141">
      <c r="A141" s="7" t="inlineStr">
        <is>
          <t>CUST029</t>
        </is>
      </c>
      <c r="B141" s="9" t="inlineStr">
        <is>
          <t>Sarah Davis</t>
        </is>
      </c>
      <c r="C141" s="11" t="n">
        <v>741.61</v>
      </c>
    </row>
    <row r="142">
      <c r="A142" s="7" t="inlineStr">
        <is>
          <t>CUST028</t>
        </is>
      </c>
      <c r="B142" s="9" t="inlineStr">
        <is>
          <t>Robert Anderson</t>
        </is>
      </c>
      <c r="C142" s="11" t="n">
        <v>740.8</v>
      </c>
    </row>
    <row r="143">
      <c r="A143" s="7" t="inlineStr">
        <is>
          <t>CUST025</t>
        </is>
      </c>
      <c r="B143" s="9" t="inlineStr">
        <is>
          <t>Emma Taylor</t>
        </is>
      </c>
      <c r="C143" s="11" t="n">
        <v>728.71</v>
      </c>
    </row>
    <row r="144">
      <c r="A144" s="7" t="inlineStr">
        <is>
          <t>CUST013</t>
        </is>
      </c>
      <c r="B144" s="9" t="inlineStr">
        <is>
          <t>Robert Anderson</t>
        </is>
      </c>
      <c r="C144" s="11" t="n">
        <v>727.73</v>
      </c>
    </row>
    <row r="145">
      <c r="A145" s="7" t="inlineStr">
        <is>
          <t>CUST019</t>
        </is>
      </c>
      <c r="B145" s="9" t="inlineStr">
        <is>
          <t>James Taylor</t>
        </is>
      </c>
      <c r="C145" s="11" t="n">
        <v>718.04</v>
      </c>
    </row>
    <row r="146">
      <c r="A146" s="7" t="inlineStr">
        <is>
          <t>CUST017</t>
        </is>
      </c>
      <c r="B146" s="9" t="inlineStr">
        <is>
          <t>James Taylor</t>
        </is>
      </c>
      <c r="C146" s="11" t="n">
        <v>713.34</v>
      </c>
    </row>
    <row r="147">
      <c r="A147" s="7" t="inlineStr">
        <is>
          <t>CUST028</t>
        </is>
      </c>
      <c r="B147" s="9" t="inlineStr">
        <is>
          <t>Sarah Davis</t>
        </is>
      </c>
      <c r="C147" s="11" t="n">
        <v>710.52</v>
      </c>
    </row>
    <row r="148">
      <c r="A148" s="7" t="inlineStr">
        <is>
          <t>CUST024</t>
        </is>
      </c>
      <c r="B148" s="9" t="inlineStr">
        <is>
          <t>James Wilson</t>
        </is>
      </c>
      <c r="C148" s="11" t="n">
        <v>706.73</v>
      </c>
    </row>
    <row r="149">
      <c r="A149" s="7" t="inlineStr">
        <is>
          <t>CUST023</t>
        </is>
      </c>
      <c r="B149" s="9" t="inlineStr">
        <is>
          <t>Mary Davis</t>
        </is>
      </c>
      <c r="C149" s="11" t="n">
        <v>706.37</v>
      </c>
    </row>
    <row r="150">
      <c r="A150" s="7" t="inlineStr">
        <is>
          <t>CUST003</t>
        </is>
      </c>
      <c r="B150" s="9" t="inlineStr">
        <is>
          <t>Sarah Anderson</t>
        </is>
      </c>
      <c r="C150" s="11" t="n">
        <v>704.28</v>
      </c>
    </row>
    <row r="151">
      <c r="A151" s="7" t="inlineStr">
        <is>
          <t>CUST009</t>
        </is>
      </c>
      <c r="B151" s="9" t="inlineStr">
        <is>
          <t>Linda Taylor</t>
        </is>
      </c>
      <c r="C151" s="11" t="n">
        <v>689.4299999999999</v>
      </c>
    </row>
    <row r="152">
      <c r="A152" s="7" t="inlineStr">
        <is>
          <t>CUST012</t>
        </is>
      </c>
      <c r="B152" s="9" t="inlineStr">
        <is>
          <t>David Brown</t>
        </is>
      </c>
      <c r="C152" s="11" t="n">
        <v>688.83</v>
      </c>
    </row>
    <row r="153">
      <c r="A153" s="7" t="inlineStr">
        <is>
          <t>CUST023</t>
        </is>
      </c>
      <c r="B153" s="9" t="inlineStr">
        <is>
          <t>Mary Wilson</t>
        </is>
      </c>
      <c r="C153" s="11" t="n">
        <v>682.24</v>
      </c>
    </row>
    <row r="154">
      <c r="A154" s="7" t="inlineStr">
        <is>
          <t>CUST030</t>
        </is>
      </c>
      <c r="B154" s="9" t="inlineStr">
        <is>
          <t>John Brown</t>
        </is>
      </c>
      <c r="C154" s="11" t="n">
        <v>675.54</v>
      </c>
    </row>
    <row r="155">
      <c r="A155" s="7" t="inlineStr">
        <is>
          <t>CUST011</t>
        </is>
      </c>
      <c r="B155" s="9" t="inlineStr">
        <is>
          <t>Linda Moore</t>
        </is>
      </c>
      <c r="C155" s="11" t="n">
        <v>662.61</v>
      </c>
    </row>
    <row r="156">
      <c r="A156" s="7" t="inlineStr">
        <is>
          <t>CUST003</t>
        </is>
      </c>
      <c r="B156" s="9" t="inlineStr">
        <is>
          <t>Linda Moore</t>
        </is>
      </c>
      <c r="C156" s="11" t="n">
        <v>661.09</v>
      </c>
    </row>
    <row r="157">
      <c r="A157" s="7" t="inlineStr">
        <is>
          <t>CUST018</t>
        </is>
      </c>
      <c r="B157" s="9" t="inlineStr">
        <is>
          <t>Lisa Davis</t>
        </is>
      </c>
      <c r="C157" s="11" t="n">
        <v>640.64</v>
      </c>
    </row>
    <row r="158">
      <c r="A158" s="7" t="inlineStr">
        <is>
          <t>CUST030</t>
        </is>
      </c>
      <c r="B158" s="9" t="inlineStr">
        <is>
          <t>David Brown</t>
        </is>
      </c>
      <c r="C158" s="11" t="n">
        <v>608.66</v>
      </c>
    </row>
    <row r="159">
      <c r="A159" s="7" t="inlineStr">
        <is>
          <t>CUST030</t>
        </is>
      </c>
      <c r="B159" s="9" t="inlineStr">
        <is>
          <t>Sarah Anderson</t>
        </is>
      </c>
      <c r="C159" s="11" t="n">
        <v>585.16</v>
      </c>
    </row>
    <row r="160">
      <c r="A160" s="7" t="inlineStr">
        <is>
          <t>CUST016</t>
        </is>
      </c>
      <c r="B160" s="9" t="inlineStr">
        <is>
          <t>Emma Wilson</t>
        </is>
      </c>
      <c r="C160" s="11" t="n">
        <v>580.4299999999999</v>
      </c>
    </row>
    <row r="161">
      <c r="A161" s="7" t="inlineStr">
        <is>
          <t>CUST023</t>
        </is>
      </c>
      <c r="B161" s="9" t="inlineStr">
        <is>
          <t>David Davis</t>
        </is>
      </c>
      <c r="C161" s="11" t="n">
        <v>556.42</v>
      </c>
    </row>
    <row r="162">
      <c r="A162" s="7" t="inlineStr">
        <is>
          <t>CUST015</t>
        </is>
      </c>
      <c r="B162" s="9" t="inlineStr">
        <is>
          <t>Sarah Anderson</t>
        </is>
      </c>
      <c r="C162" s="11" t="n">
        <v>545.4400000000001</v>
      </c>
    </row>
    <row r="163">
      <c r="A163" s="7" t="inlineStr">
        <is>
          <t>CUST024</t>
        </is>
      </c>
      <c r="B163" s="9" t="inlineStr">
        <is>
          <t>David Brown</t>
        </is>
      </c>
      <c r="C163" s="11" t="n">
        <v>539.77</v>
      </c>
    </row>
    <row r="164">
      <c r="A164" s="7" t="inlineStr">
        <is>
          <t>CUST029</t>
        </is>
      </c>
      <c r="B164" s="9" t="inlineStr">
        <is>
          <t>David Smith</t>
        </is>
      </c>
      <c r="C164" s="11" t="n">
        <v>521.67</v>
      </c>
    </row>
    <row r="165">
      <c r="A165" s="7" t="inlineStr">
        <is>
          <t>CUST004</t>
        </is>
      </c>
      <c r="B165" s="9" t="inlineStr">
        <is>
          <t>Lisa Thomas</t>
        </is>
      </c>
      <c r="C165" s="11" t="n">
        <v>518.0700000000001</v>
      </c>
    </row>
    <row r="166">
      <c r="A166" s="7" t="inlineStr">
        <is>
          <t>CUST015</t>
        </is>
      </c>
      <c r="B166" s="9" t="inlineStr">
        <is>
          <t>Emma Davis</t>
        </is>
      </c>
      <c r="C166" s="11" t="n">
        <v>511.74</v>
      </c>
    </row>
    <row r="167">
      <c r="A167" s="7" t="inlineStr">
        <is>
          <t>CUST009</t>
        </is>
      </c>
      <c r="B167" s="9" t="inlineStr">
        <is>
          <t>Linda Jackson</t>
        </is>
      </c>
      <c r="C167" s="11" t="n">
        <v>501.54</v>
      </c>
    </row>
    <row r="168">
      <c r="A168" s="7" t="inlineStr">
        <is>
          <t>CUST028</t>
        </is>
      </c>
      <c r="B168" s="9" t="inlineStr">
        <is>
          <t>Mary Wilson</t>
        </is>
      </c>
      <c r="C168" s="11" t="n">
        <v>499.18</v>
      </c>
    </row>
    <row r="169">
      <c r="A169" s="7" t="inlineStr">
        <is>
          <t>CUST010</t>
        </is>
      </c>
      <c r="B169" s="9" t="inlineStr">
        <is>
          <t>David Brown</t>
        </is>
      </c>
      <c r="C169" s="11" t="n">
        <v>488.99</v>
      </c>
    </row>
    <row r="170">
      <c r="A170" s="7" t="inlineStr">
        <is>
          <t>CUST012</t>
        </is>
      </c>
      <c r="B170" s="9" t="inlineStr">
        <is>
          <t>Michael Anderson</t>
        </is>
      </c>
      <c r="C170" s="11" t="n">
        <v>472.38</v>
      </c>
    </row>
    <row r="171">
      <c r="A171" s="7" t="inlineStr">
        <is>
          <t>CUST029</t>
        </is>
      </c>
      <c r="B171" s="9" t="inlineStr">
        <is>
          <t>Michael Anderson</t>
        </is>
      </c>
      <c r="C171" s="11" t="n">
        <v>458.54</v>
      </c>
    </row>
    <row r="172">
      <c r="A172" s="7" t="inlineStr">
        <is>
          <t>CUST022</t>
        </is>
      </c>
      <c r="B172" s="9" t="inlineStr">
        <is>
          <t>Robert Anderson</t>
        </is>
      </c>
      <c r="C172" s="11" t="n">
        <v>388.56</v>
      </c>
    </row>
    <row r="173">
      <c r="A173" s="7" t="inlineStr">
        <is>
          <t>CUST022</t>
        </is>
      </c>
      <c r="B173" s="9" t="inlineStr">
        <is>
          <t>Lisa Thomas</t>
        </is>
      </c>
      <c r="C173" s="11" t="n">
        <v>388.23</v>
      </c>
    </row>
    <row r="174">
      <c r="A174" s="7" t="inlineStr">
        <is>
          <t>CUST001</t>
        </is>
      </c>
      <c r="B174" s="9" t="inlineStr">
        <is>
          <t>David Anderson</t>
        </is>
      </c>
      <c r="C174" s="11" t="n">
        <v>336.66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41" customWidth="1" min="2" max="2"/>
    <col width="20" customWidth="1" min="3" max="3"/>
  </cols>
  <sheetData>
    <row r="1">
      <c r="A1" s="13" t="inlineStr">
        <is>
          <t>Task 2: What-If Analysis (Impact of Discount Adjustment on Profit)</t>
        </is>
      </c>
    </row>
    <row r="2"/>
    <row r="3">
      <c r="A3" t="inlineStr">
        <is>
          <t>Base Total Sales:</t>
        </is>
      </c>
      <c r="B3" s="17">
        <f>SUM(Dataset!E2:E201)</f>
        <v/>
      </c>
    </row>
    <row r="4">
      <c r="A4" t="inlineStr">
        <is>
          <t>Base Total Profit:</t>
        </is>
      </c>
      <c r="B4" s="17">
        <f>SUM(Dataset!I2:I201)</f>
        <v/>
      </c>
    </row>
    <row r="5"/>
    <row r="6">
      <c r="A6" s="2" t="inlineStr">
        <is>
          <t>Discount Scenario Table</t>
        </is>
      </c>
    </row>
    <row r="7">
      <c r="A7" s="10" t="inlineStr">
        <is>
          <t>Discount Shift</t>
        </is>
      </c>
      <c r="B7" s="10" t="inlineStr">
        <is>
          <t>Estimated Total Profit ($)</t>
        </is>
      </c>
      <c r="C7" s="10" t="inlineStr">
        <is>
          <t>Profit Change ($)</t>
        </is>
      </c>
    </row>
    <row r="8">
      <c r="A8" s="9" t="inlineStr">
        <is>
          <t>-10% Reduction in Discount</t>
        </is>
      </c>
      <c r="B8" s="11">
        <f>B4 + (SUM(Dataset!E2:E201)*0.10*0.35)</f>
        <v/>
      </c>
      <c r="C8" s="11">
        <f>B7-B4</f>
        <v/>
      </c>
    </row>
    <row r="9">
      <c r="A9" s="9" t="inlineStr">
        <is>
          <t>-5% Reduction in Discount</t>
        </is>
      </c>
      <c r="B9" s="11">
        <f>B4 + (SUM(Dataset!E2:E201)*0.05*0.35)</f>
        <v/>
      </c>
      <c r="C9" s="11">
        <f>B8-B4</f>
        <v/>
      </c>
    </row>
    <row r="10">
      <c r="A10" s="9" t="inlineStr">
        <is>
          <t>Current Discount Level (Baseline)</t>
        </is>
      </c>
      <c r="B10" s="11">
        <f>B4</f>
        <v/>
      </c>
      <c r="C10" s="11">
        <f>B9-B4</f>
        <v/>
      </c>
    </row>
    <row r="11">
      <c r="A11" s="9" t="inlineStr">
        <is>
          <t>+5% Increase in Discount</t>
        </is>
      </c>
      <c r="B11" s="11">
        <f>B4 - (SUM(Dataset!E2:E201)*0.05*0.35)</f>
        <v/>
      </c>
      <c r="C11" s="11">
        <f>B10-B4</f>
        <v/>
      </c>
    </row>
    <row r="12">
      <c r="A12" s="9" t="inlineStr">
        <is>
          <t>+10% Increase in Discount</t>
        </is>
      </c>
      <c r="B12" s="11">
        <f>B4 - (SUM(Dataset!E2:E201)*0.10*0.35)</f>
        <v/>
      </c>
      <c r="C12" s="11">
        <f>B11-B4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8" customWidth="1" min="2" max="2"/>
    <col width="60" customWidth="1" min="3" max="3"/>
    <col width="28" customWidth="1" min="4" max="4"/>
    <col width="28" customWidth="1" min="5" max="5"/>
  </cols>
  <sheetData>
    <row r="1">
      <c r="A1" s="13" t="inlineStr">
        <is>
          <t>Task 3 &amp; 4: Data Analysis (Descriptive Statistics &amp; Linear Regression)</t>
        </is>
      </c>
    </row>
    <row r="2"/>
    <row r="3">
      <c r="A3" s="2" t="inlineStr">
        <is>
          <t>Descriptive Statistics Summary</t>
        </is>
      </c>
    </row>
    <row r="4">
      <c r="A4" s="6" t="inlineStr">
        <is>
          <t>Metric</t>
        </is>
      </c>
      <c r="B4" s="6" t="inlineStr">
        <is>
          <t>Sales ($)</t>
        </is>
      </c>
      <c r="C4" s="6" t="inlineStr">
        <is>
          <t>Profit ($)</t>
        </is>
      </c>
      <c r="D4" s="6" t="inlineStr">
        <is>
          <t>Quantity</t>
        </is>
      </c>
      <c r="E4" s="6" t="inlineStr">
        <is>
          <t>Discount (%)</t>
        </is>
      </c>
    </row>
    <row r="5">
      <c r="A5" s="9" t="inlineStr">
        <is>
          <t>Mean</t>
        </is>
      </c>
      <c r="B5" s="11">
        <f>AVERAGE(Dataset!E2:E201)</f>
        <v/>
      </c>
      <c r="C5" s="11">
        <f>AVERAGE(Dataset!I2:I201)</f>
        <v/>
      </c>
      <c r="D5" s="18">
        <f>AVERAGE(Dataset!F2:F201)</f>
        <v/>
      </c>
      <c r="E5" s="12">
        <f>AVERAGE(Dataset!G2:G201)</f>
        <v/>
      </c>
    </row>
    <row r="6">
      <c r="A6" s="9" t="inlineStr">
        <is>
          <t>Standard Deviation</t>
        </is>
      </c>
      <c r="B6" s="11">
        <f>STDEV.S(Dataset!E2:E201)</f>
        <v/>
      </c>
      <c r="C6" s="11">
        <f>STDEV.S(Dataset!I2:I201)</f>
        <v/>
      </c>
      <c r="D6" s="18">
        <f>STDEV.S(Dataset!F2:F201)</f>
        <v/>
      </c>
      <c r="E6" s="12">
        <f>STDEV.S(Dataset!G2:G201)</f>
        <v/>
      </c>
    </row>
    <row r="7">
      <c r="A7" s="9" t="inlineStr">
        <is>
          <t>Minimum</t>
        </is>
      </c>
      <c r="B7" s="11">
        <f>MIN(Dataset!E2:E201)</f>
        <v/>
      </c>
      <c r="C7" s="11">
        <f>MIN(Dataset!I2:I201)</f>
        <v/>
      </c>
      <c r="D7" s="18">
        <f>MIN(Dataset!F2:F201)</f>
        <v/>
      </c>
      <c r="E7" s="12">
        <f>MIN(Dataset!G2:G201)</f>
        <v/>
      </c>
    </row>
    <row r="8">
      <c r="A8" s="9" t="inlineStr">
        <is>
          <t>Median (Q2)</t>
        </is>
      </c>
      <c r="B8" s="11">
        <f>MEDIAN(Dataset!E2:E201)</f>
        <v/>
      </c>
      <c r="C8" s="11">
        <f>MEDIAN(Dataset!I2:I201)</f>
        <v/>
      </c>
      <c r="D8" s="18">
        <f>MEDIAN(Dataset!F2:F201)</f>
        <v/>
      </c>
      <c r="E8" s="12">
        <f>MEDIAN(Dataset!G2:G201)</f>
        <v/>
      </c>
    </row>
    <row r="9">
      <c r="A9" s="9" t="inlineStr">
        <is>
          <t>Maximum</t>
        </is>
      </c>
      <c r="B9" s="11">
        <f>MAX(Dataset!E2:E201)</f>
        <v/>
      </c>
      <c r="C9" s="11">
        <f>MAX(Dataset!I2:I201)</f>
        <v/>
      </c>
      <c r="D9" s="18">
        <f>MAX(Dataset!F2:F201)</f>
        <v/>
      </c>
      <c r="E9" s="12">
        <f>MAX(Dataset!G2:G201)</f>
        <v/>
      </c>
    </row>
    <row r="10">
      <c r="A10" s="9" t="inlineStr">
        <is>
          <t>Count</t>
        </is>
      </c>
      <c r="B10" s="9">
        <f>COUNT(Dataset!E2:E201)</f>
        <v/>
      </c>
      <c r="C10" s="9">
        <f>COUNT(Dataset!I2:I201)</f>
        <v/>
      </c>
      <c r="D10" s="9">
        <f>COUNT(Dataset!F2:F201)</f>
        <v/>
      </c>
      <c r="E10" s="9">
        <f>COUNT(Dataset!G2:G201)</f>
        <v/>
      </c>
    </row>
    <row r="11"/>
    <row r="12">
      <c r="A12" s="2" t="inlineStr">
        <is>
          <t>Linear Regression Output (Profit vs Sales)</t>
        </is>
      </c>
    </row>
    <row r="13">
      <c r="A13" s="10" t="inlineStr">
        <is>
          <t>Regression Parameter</t>
        </is>
      </c>
      <c r="B13" s="10" t="inlineStr">
        <is>
          <t>Value</t>
        </is>
      </c>
      <c r="C13" s="10" t="inlineStr">
        <is>
          <t>Interpretation</t>
        </is>
      </c>
    </row>
    <row r="14">
      <c r="A14" s="9" t="inlineStr">
        <is>
          <t>R-Squared (R²)</t>
        </is>
      </c>
      <c r="B14" s="9" t="n">
        <v>0.598</v>
      </c>
      <c r="C14" s="9" t="inlineStr">
        <is>
          <t>59.8% of Profit variance is explained by Sales</t>
        </is>
      </c>
    </row>
    <row r="15">
      <c r="A15" s="9" t="inlineStr">
        <is>
          <t>Slope (Beta Coefficient)</t>
        </is>
      </c>
      <c r="B15" s="9" t="n">
        <v>0.3509</v>
      </c>
      <c r="C15" s="9" t="inlineStr">
        <is>
          <t>For every $1 increase in Sales, Profit increases by $0.35</t>
        </is>
      </c>
    </row>
    <row r="16">
      <c r="A16" s="9" t="inlineStr">
        <is>
          <t>Intercept</t>
        </is>
      </c>
      <c r="B16" s="9" t="n">
        <v>-1.0316</v>
      </c>
      <c r="C16" s="9" t="inlineStr">
        <is>
          <t>Base baseline constant coefficient</t>
        </is>
      </c>
    </row>
    <row r="17">
      <c r="A17" s="9" t="inlineStr">
        <is>
          <t>F-Statistic</t>
        </is>
      </c>
      <c r="B17" s="9" t="n">
        <v>294.7</v>
      </c>
      <c r="C17" s="9" t="inlineStr">
        <is>
          <t>Model is highly statistically significant (p &lt; 0.001)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17" customWidth="1" min="3" max="3"/>
    <col width="39" customWidth="1" min="4" max="4"/>
  </cols>
  <sheetData>
    <row r="1">
      <c r="A1" s="13" t="inlineStr">
        <is>
          <t>Task 5: Monthly Sales Growth &amp; Custom Arrow Formatting</t>
        </is>
      </c>
    </row>
    <row r="2"/>
    <row r="3">
      <c r="A3" s="19" t="inlineStr">
        <is>
          <t>Year-Month</t>
        </is>
      </c>
      <c r="B3" s="19" t="inlineStr">
        <is>
          <t>Total Sales ($)</t>
        </is>
      </c>
      <c r="C3" s="19" t="inlineStr">
        <is>
          <t>MoM Growth (%)</t>
        </is>
      </c>
      <c r="D3" s="19" t="inlineStr">
        <is>
          <t>Trend Arrow</t>
        </is>
      </c>
    </row>
    <row r="4">
      <c r="A4" s="7" t="inlineStr">
        <is>
          <t>2024-04</t>
        </is>
      </c>
      <c r="B4" s="11" t="n">
        <v>19029.96</v>
      </c>
      <c r="C4" s="7" t="inlineStr">
        <is>
          <t>-</t>
        </is>
      </c>
      <c r="D4" s="7" t="inlineStr">
        <is>
          <t>-</t>
        </is>
      </c>
    </row>
    <row r="5">
      <c r="A5" s="7" t="inlineStr">
        <is>
          <t>2024-05</t>
        </is>
      </c>
      <c r="B5" s="11" t="n">
        <v>18507.34</v>
      </c>
      <c r="C5" s="20">
        <f>(B5-B4)/B4</f>
        <v/>
      </c>
      <c r="D5" s="21">
        <f>IF(C5&gt;0, "↑", IF(C5&lt;0, "↓", "-"))</f>
        <v/>
      </c>
    </row>
    <row r="6">
      <c r="A6" s="7" t="inlineStr">
        <is>
          <t>2024-06</t>
        </is>
      </c>
      <c r="B6" s="11" t="n">
        <v>20187.51</v>
      </c>
      <c r="C6" s="20">
        <f>(B6-B5)/B5</f>
        <v/>
      </c>
      <c r="D6" s="21">
        <f>IF(C6&gt;0, "↑", IF(C6&lt;0, "↓", "-"))</f>
        <v/>
      </c>
    </row>
    <row r="7">
      <c r="A7" s="7" t="inlineStr">
        <is>
          <t>2024-07</t>
        </is>
      </c>
      <c r="B7" s="11" t="n">
        <v>11609.04</v>
      </c>
      <c r="C7" s="20">
        <f>(B7-B6)/B6</f>
        <v/>
      </c>
      <c r="D7" s="21">
        <f>IF(C7&gt;0, "↑", IF(C7&lt;0, "↓", "-"))</f>
        <v/>
      </c>
    </row>
    <row r="8">
      <c r="A8" s="7" t="inlineStr">
        <is>
          <t>2024-08</t>
        </is>
      </c>
      <c r="B8" s="11" t="n">
        <v>10091.7</v>
      </c>
      <c r="C8" s="20">
        <f>(B8-B7)/B7</f>
        <v/>
      </c>
      <c r="D8" s="21">
        <f>IF(C8&gt;0, "↑", IF(C8&lt;0, "↓", "-"))</f>
        <v/>
      </c>
    </row>
    <row r="9">
      <c r="A9" s="7" t="inlineStr">
        <is>
          <t>2024-09</t>
        </is>
      </c>
      <c r="B9" s="11" t="n">
        <v>20533.5</v>
      </c>
      <c r="C9" s="20">
        <f>(B9-B8)/B8</f>
        <v/>
      </c>
      <c r="D9" s="21">
        <f>IF(C9&gt;0, "↑", IF(C9&lt;0, "↓", "-"))</f>
        <v/>
      </c>
    </row>
    <row r="10">
      <c r="A10" s="7" t="inlineStr">
        <is>
          <t>2024-10</t>
        </is>
      </c>
      <c r="B10" s="11" t="n">
        <v>14215.24</v>
      </c>
      <c r="C10" s="20">
        <f>(B10-B9)/B9</f>
        <v/>
      </c>
      <c r="D10" s="21">
        <f>IF(C10&gt;0, "↑", IF(C10&lt;0, "↓", "-"))</f>
        <v/>
      </c>
    </row>
    <row r="11">
      <c r="A11" s="7" t="inlineStr">
        <is>
          <t>2024-11</t>
        </is>
      </c>
      <c r="B11" s="11" t="n">
        <v>20135.03</v>
      </c>
      <c r="C11" s="20">
        <f>(B11-B10)/B10</f>
        <v/>
      </c>
      <c r="D11" s="21">
        <f>IF(C11&gt;0, "↑", IF(C11&lt;0, "↓", "-"))</f>
        <v/>
      </c>
    </row>
    <row r="12">
      <c r="A12" s="7" t="inlineStr">
        <is>
          <t>2024-12</t>
        </is>
      </c>
      <c r="B12" s="11" t="n">
        <v>11120.04</v>
      </c>
      <c r="C12" s="20">
        <f>(B12-B11)/B11</f>
        <v/>
      </c>
      <c r="D12" s="21">
        <f>IF(C12&gt;0, "↑", IF(C12&lt;0, "↓", "-"))</f>
        <v/>
      </c>
    </row>
    <row r="13">
      <c r="A13" s="7" t="inlineStr">
        <is>
          <t>2025-01</t>
        </is>
      </c>
      <c r="B13" s="11" t="n">
        <v>14914.65</v>
      </c>
      <c r="C13" s="20">
        <f>(B13-B12)/B12</f>
        <v/>
      </c>
      <c r="D13" s="21">
        <f>IF(C13&gt;0, "↑", IF(C13&lt;0, "↓", "-"))</f>
        <v/>
      </c>
    </row>
    <row r="14">
      <c r="A14" s="7" t="inlineStr">
        <is>
          <t>2025-02</t>
        </is>
      </c>
      <c r="B14" s="11" t="n">
        <v>14006.36</v>
      </c>
      <c r="C14" s="20">
        <f>(B14-B13)/B13</f>
        <v/>
      </c>
      <c r="D14" s="21">
        <f>IF(C14&gt;0, "↑", IF(C14&lt;0, "↓", "-"))</f>
        <v/>
      </c>
    </row>
    <row r="15">
      <c r="A15" s="7" t="inlineStr">
        <is>
          <t>2025-03</t>
        </is>
      </c>
      <c r="B15" s="11" t="n">
        <v>17655.22</v>
      </c>
      <c r="C15" s="20">
        <f>(B15-B14)/B14</f>
        <v/>
      </c>
      <c r="D15" s="21">
        <f>IF(C15&gt;0, "↑", IF(C15&lt;0, "↓", "-"))</f>
        <v/>
      </c>
    </row>
    <row r="16">
      <c r="A16" s="7" t="inlineStr">
        <is>
          <t>2025-04</t>
        </is>
      </c>
      <c r="B16" s="11" t="n">
        <v>3212.17</v>
      </c>
      <c r="C16" s="20">
        <f>(B16-B15)/B15</f>
        <v/>
      </c>
      <c r="D16" s="21">
        <f>IF(C16&gt;0, "↑", IF(C16&lt;0, "↓", "-"))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9" customWidth="1" min="2" max="2"/>
    <col width="12" customWidth="1" min="3" max="3"/>
    <col width="21" customWidth="1" min="4" max="4"/>
    <col width="19" customWidth="1" min="5" max="5"/>
    <col width="17" customWidth="1" min="6" max="6"/>
  </cols>
  <sheetData>
    <row r="1">
      <c r="A1" s="13" t="inlineStr">
        <is>
          <t>Task 7: High-Value Customer Identification (INDEX &amp; MATCH)</t>
        </is>
      </c>
    </row>
    <row r="2"/>
    <row r="3">
      <c r="A3" s="10" t="inlineStr">
        <is>
          <t>Customer ID</t>
        </is>
      </c>
      <c r="B3" s="10" t="inlineStr">
        <is>
          <t>Customer Name</t>
        </is>
      </c>
      <c r="C3" s="10" t="inlineStr">
        <is>
          <t>Region</t>
        </is>
      </c>
      <c r="D3" s="10" t="inlineStr">
        <is>
          <t>Total Purchase ($)</t>
        </is>
      </c>
      <c r="E3" s="10" t="inlineStr">
        <is>
          <t>Total Profit ($)</t>
        </is>
      </c>
      <c r="F3" s="10" t="inlineStr">
        <is>
          <t>Total Quantity</t>
        </is>
      </c>
    </row>
    <row r="4">
      <c r="A4" s="7" t="inlineStr">
        <is>
          <t>CUST030</t>
        </is>
      </c>
      <c r="B4" s="9" t="inlineStr">
        <is>
          <t>Mary Davis</t>
        </is>
      </c>
      <c r="C4" s="7" t="inlineStr">
        <is>
          <t>East</t>
        </is>
      </c>
      <c r="D4" s="11" t="n">
        <v>2401.45</v>
      </c>
      <c r="E4" s="11" t="n">
        <v>1025.15</v>
      </c>
      <c r="F4" s="22" t="n">
        <v>23</v>
      </c>
    </row>
    <row r="5">
      <c r="A5" s="7" t="inlineStr">
        <is>
          <t>CUST008</t>
        </is>
      </c>
      <c r="B5" s="9" t="inlineStr">
        <is>
          <t>James Wilson</t>
        </is>
      </c>
      <c r="C5" s="7" t="inlineStr">
        <is>
          <t>East</t>
        </is>
      </c>
      <c r="D5" s="11" t="n">
        <v>2095.36</v>
      </c>
      <c r="E5" s="11" t="n">
        <v>801.17</v>
      </c>
      <c r="F5" s="22" t="n">
        <v>33</v>
      </c>
    </row>
    <row r="6">
      <c r="A6" s="7" t="inlineStr">
        <is>
          <t>CUST026</t>
        </is>
      </c>
      <c r="B6" s="9" t="inlineStr">
        <is>
          <t>Mary Davis</t>
        </is>
      </c>
      <c r="C6" s="7" t="inlineStr">
        <is>
          <t>East</t>
        </is>
      </c>
      <c r="D6" s="11" t="n">
        <v>2008.18</v>
      </c>
      <c r="E6" s="11" t="n">
        <v>594.97</v>
      </c>
      <c r="F6" s="22" t="n">
        <v>23</v>
      </c>
    </row>
    <row r="7">
      <c r="A7" s="7" t="inlineStr">
        <is>
          <t>CUST015</t>
        </is>
      </c>
      <c r="B7" s="9" t="inlineStr">
        <is>
          <t>James Wilson</t>
        </is>
      </c>
      <c r="C7" s="7" t="inlineStr">
        <is>
          <t>West</t>
        </is>
      </c>
      <c r="D7" s="11" t="n">
        <v>1923.66</v>
      </c>
      <c r="E7" s="11" t="n">
        <v>769.46</v>
      </c>
      <c r="F7" s="22" t="n">
        <v>9</v>
      </c>
    </row>
    <row r="8">
      <c r="A8" s="7" t="inlineStr">
        <is>
          <t>CUST028</t>
        </is>
      </c>
      <c r="B8" s="9" t="inlineStr">
        <is>
          <t>James Wilson</t>
        </is>
      </c>
      <c r="C8" s="7" t="inlineStr">
        <is>
          <t>Central</t>
        </is>
      </c>
      <c r="D8" s="11" t="n">
        <v>1771.03</v>
      </c>
      <c r="E8" s="11" t="n">
        <v>671.1</v>
      </c>
      <c r="F8" s="22" t="n">
        <v>15</v>
      </c>
    </row>
    <row r="9">
      <c r="A9" s="7" t="inlineStr">
        <is>
          <t>CUST002</t>
        </is>
      </c>
      <c r="B9" s="9" t="inlineStr">
        <is>
          <t>Lisa Davis</t>
        </is>
      </c>
      <c r="C9" s="7" t="inlineStr">
        <is>
          <t>West</t>
        </is>
      </c>
      <c r="D9" s="11" t="n">
        <v>1770.15</v>
      </c>
      <c r="E9" s="11" t="n">
        <v>674.48</v>
      </c>
      <c r="F9" s="22" t="n">
        <v>25</v>
      </c>
    </row>
    <row r="10">
      <c r="A10" s="7" t="inlineStr">
        <is>
          <t>CUST015</t>
        </is>
      </c>
      <c r="B10" s="9" t="inlineStr">
        <is>
          <t>James Wilson</t>
        </is>
      </c>
      <c r="C10" s="7" t="inlineStr">
        <is>
          <t>North</t>
        </is>
      </c>
      <c r="D10" s="11" t="n">
        <v>1681.21</v>
      </c>
      <c r="E10" s="11" t="n">
        <v>336.24</v>
      </c>
      <c r="F10" s="22" t="n">
        <v>5</v>
      </c>
    </row>
    <row r="11">
      <c r="A11" s="7" t="inlineStr">
        <is>
          <t>CUST005</t>
        </is>
      </c>
      <c r="B11" s="9" t="inlineStr">
        <is>
          <t>Robert Anderson</t>
        </is>
      </c>
      <c r="C11" s="7" t="inlineStr">
        <is>
          <t>South</t>
        </is>
      </c>
      <c r="D11" s="11" t="n">
        <v>1679.97</v>
      </c>
      <c r="E11" s="11" t="n">
        <v>419.03</v>
      </c>
      <c r="F11" s="22" t="n">
        <v>14</v>
      </c>
    </row>
    <row r="12">
      <c r="A12" s="7" t="inlineStr">
        <is>
          <t>CUST024</t>
        </is>
      </c>
      <c r="B12" s="9" t="inlineStr">
        <is>
          <t>Linda Taylor</t>
        </is>
      </c>
      <c r="C12" s="7" t="inlineStr">
        <is>
          <t>North</t>
        </is>
      </c>
      <c r="D12" s="11" t="n">
        <v>1622.62</v>
      </c>
      <c r="E12" s="11" t="n">
        <v>649.05</v>
      </c>
      <c r="F12" s="22" t="n">
        <v>12</v>
      </c>
    </row>
    <row r="13">
      <c r="A13" s="7" t="inlineStr">
        <is>
          <t>CUST002</t>
        </is>
      </c>
      <c r="B13" s="9" t="inlineStr">
        <is>
          <t>Mary Jackson</t>
        </is>
      </c>
      <c r="C13" s="7" t="inlineStr">
        <is>
          <t>Central</t>
        </is>
      </c>
      <c r="D13" s="11" t="n">
        <v>1618.22</v>
      </c>
      <c r="E13" s="11" t="n">
        <v>582.5599999999999</v>
      </c>
      <c r="F13" s="22" t="n">
        <v>12</v>
      </c>
    </row>
    <row r="14">
      <c r="A14" s="7" t="inlineStr">
        <is>
          <t>CUST004</t>
        </is>
      </c>
      <c r="B14" s="9" t="inlineStr">
        <is>
          <t>Mary Davis</t>
        </is>
      </c>
      <c r="C14" s="7" t="inlineStr">
        <is>
          <t>North</t>
        </is>
      </c>
      <c r="D14" s="11" t="n">
        <v>1589.42</v>
      </c>
      <c r="E14" s="11" t="n">
        <v>675.5</v>
      </c>
      <c r="F14" s="22" t="n">
        <v>6</v>
      </c>
    </row>
    <row r="15">
      <c r="A15" s="7" t="inlineStr">
        <is>
          <t>CUST014</t>
        </is>
      </c>
      <c r="B15" s="9" t="inlineStr">
        <is>
          <t>Emma Davis</t>
        </is>
      </c>
      <c r="C15" s="7" t="inlineStr">
        <is>
          <t>West</t>
        </is>
      </c>
      <c r="D15" s="11" t="n">
        <v>1572.82</v>
      </c>
      <c r="E15" s="11" t="n">
        <v>672.38</v>
      </c>
      <c r="F15" s="22" t="n">
        <v>6</v>
      </c>
    </row>
    <row r="16">
      <c r="A16" s="7" t="inlineStr">
        <is>
          <t>CUST015</t>
        </is>
      </c>
      <c r="B16" s="9" t="inlineStr">
        <is>
          <t>David Thomas</t>
        </is>
      </c>
      <c r="C16" s="7" t="inlineStr">
        <is>
          <t>West</t>
        </is>
      </c>
      <c r="D16" s="11" t="n">
        <v>1548.66</v>
      </c>
      <c r="E16" s="11" t="n">
        <v>706.39</v>
      </c>
      <c r="F16" s="22" t="n">
        <v>13</v>
      </c>
    </row>
    <row r="17">
      <c r="A17" s="7" t="inlineStr">
        <is>
          <t>CUST024</t>
        </is>
      </c>
      <c r="B17" s="9" t="inlineStr">
        <is>
          <t>Emma Davis</t>
        </is>
      </c>
      <c r="C17" s="7" t="inlineStr">
        <is>
          <t>West</t>
        </is>
      </c>
      <c r="D17" s="11" t="n">
        <v>1526.6</v>
      </c>
      <c r="E17" s="11" t="n">
        <v>305.32</v>
      </c>
      <c r="F17" s="22" t="n">
        <v>13</v>
      </c>
    </row>
    <row r="18">
      <c r="A18" s="7" t="inlineStr">
        <is>
          <t>CUST006</t>
        </is>
      </c>
      <c r="B18" s="9" t="inlineStr">
        <is>
          <t>Mary Jackson</t>
        </is>
      </c>
      <c r="C18" s="7" t="inlineStr">
        <is>
          <t>West</t>
        </is>
      </c>
      <c r="D18" s="11" t="n">
        <v>1506.14</v>
      </c>
      <c r="E18" s="11" t="n">
        <v>481.96</v>
      </c>
      <c r="F18" s="22" t="n">
        <v>13</v>
      </c>
    </row>
    <row r="19">
      <c r="A19" s="7" t="inlineStr">
        <is>
          <t>CUST005</t>
        </is>
      </c>
      <c r="B19" s="9" t="inlineStr">
        <is>
          <t>Sarah Anderson</t>
        </is>
      </c>
      <c r="C19" s="7" t="inlineStr">
        <is>
          <t>South</t>
        </is>
      </c>
      <c r="D19" s="11" t="n">
        <v>1502.93</v>
      </c>
      <c r="E19" s="11" t="n">
        <v>300.59</v>
      </c>
      <c r="F19" s="22" t="n">
        <v>14</v>
      </c>
    </row>
    <row r="20">
      <c r="A20" s="7" t="inlineStr">
        <is>
          <t>CUST007</t>
        </is>
      </c>
      <c r="B20" s="9" t="inlineStr">
        <is>
          <t>David Brown</t>
        </is>
      </c>
      <c r="C20" s="7" t="inlineStr">
        <is>
          <t>West</t>
        </is>
      </c>
      <c r="D20" s="11" t="n">
        <v>1493.49</v>
      </c>
      <c r="E20" s="11" t="n">
        <v>746.74</v>
      </c>
      <c r="F20" s="22" t="n">
        <v>18</v>
      </c>
    </row>
    <row r="21">
      <c r="A21" s="7" t="inlineStr">
        <is>
          <t>CUST027</t>
        </is>
      </c>
      <c r="B21" s="9" t="inlineStr">
        <is>
          <t>Linda Wilson</t>
        </is>
      </c>
      <c r="C21" s="7" t="inlineStr">
        <is>
          <t>Central</t>
        </is>
      </c>
      <c r="D21" s="11" t="n">
        <v>1488.58</v>
      </c>
      <c r="E21" s="11" t="n">
        <v>316.32</v>
      </c>
      <c r="F21" s="22" t="n">
        <v>10</v>
      </c>
    </row>
    <row r="22">
      <c r="A22" s="7" t="inlineStr">
        <is>
          <t>CUST024</t>
        </is>
      </c>
      <c r="B22" s="9" t="inlineStr">
        <is>
          <t>David Thomas</t>
        </is>
      </c>
      <c r="C22" s="7" t="inlineStr">
        <is>
          <t>Central</t>
        </is>
      </c>
      <c r="D22" s="11" t="n">
        <v>1465.35</v>
      </c>
      <c r="E22" s="11" t="n">
        <v>586.14</v>
      </c>
      <c r="F22" s="22" t="n">
        <v>8</v>
      </c>
    </row>
    <row r="23">
      <c r="A23" s="7" t="inlineStr">
        <is>
          <t>CUST018</t>
        </is>
      </c>
      <c r="B23" s="9" t="inlineStr">
        <is>
          <t>David Anderson</t>
        </is>
      </c>
      <c r="C23" s="7" t="inlineStr">
        <is>
          <t>Central</t>
        </is>
      </c>
      <c r="D23" s="11" t="n">
        <v>1456.94</v>
      </c>
      <c r="E23" s="11" t="n">
        <v>692.05</v>
      </c>
      <c r="F23" s="22" t="n">
        <v>14</v>
      </c>
    </row>
    <row r="24">
      <c r="A24" s="7" t="inlineStr">
        <is>
          <t>CUST025</t>
        </is>
      </c>
      <c r="B24" s="9" t="inlineStr">
        <is>
          <t>David Brown</t>
        </is>
      </c>
      <c r="C24" s="7" t="inlineStr">
        <is>
          <t>North</t>
        </is>
      </c>
      <c r="D24" s="11" t="n">
        <v>1450.71</v>
      </c>
      <c r="E24" s="11" t="n">
        <v>326.41</v>
      </c>
      <c r="F24" s="22" t="n">
        <v>5</v>
      </c>
    </row>
    <row r="25">
      <c r="A25" s="7" t="inlineStr">
        <is>
          <t>CUST004</t>
        </is>
      </c>
      <c r="B25" s="9" t="inlineStr">
        <is>
          <t>Sarah Davis</t>
        </is>
      </c>
      <c r="C25" s="7" t="inlineStr">
        <is>
          <t>West</t>
        </is>
      </c>
      <c r="D25" s="11" t="n">
        <v>1443.98</v>
      </c>
      <c r="E25" s="11" t="n">
        <v>649.79</v>
      </c>
      <c r="F25" s="22" t="n">
        <v>19</v>
      </c>
    </row>
    <row r="26">
      <c r="A26" s="7" t="inlineStr">
        <is>
          <t>CUST001</t>
        </is>
      </c>
      <c r="B26" s="9" t="inlineStr">
        <is>
          <t>Michael Anderson</t>
        </is>
      </c>
      <c r="C26" s="7" t="inlineStr">
        <is>
          <t>Central</t>
        </is>
      </c>
      <c r="D26" s="11" t="n">
        <v>1432.47</v>
      </c>
      <c r="E26" s="11" t="n">
        <v>426.16</v>
      </c>
      <c r="F26" s="22" t="n">
        <v>16</v>
      </c>
    </row>
    <row r="27">
      <c r="A27" s="7" t="inlineStr">
        <is>
          <t>CUST002</t>
        </is>
      </c>
      <c r="B27" s="9" t="inlineStr">
        <is>
          <t>Linda Brown</t>
        </is>
      </c>
      <c r="C27" s="7" t="inlineStr">
        <is>
          <t>East</t>
        </is>
      </c>
      <c r="D27" s="11" t="n">
        <v>1410.59</v>
      </c>
      <c r="E27" s="11" t="n">
        <v>352.65</v>
      </c>
      <c r="F27" s="22" t="n">
        <v>15</v>
      </c>
    </row>
    <row r="28">
      <c r="A28" s="7" t="inlineStr">
        <is>
          <t>CUST028</t>
        </is>
      </c>
      <c r="B28" s="9" t="inlineStr">
        <is>
          <t>Lisa Davis</t>
        </is>
      </c>
      <c r="C28" s="7" t="inlineStr">
        <is>
          <t>Central</t>
        </is>
      </c>
      <c r="D28" s="11" t="n">
        <v>1410.06</v>
      </c>
      <c r="E28" s="11" t="n">
        <v>468.84</v>
      </c>
      <c r="F28" s="22" t="n">
        <v>11</v>
      </c>
    </row>
    <row r="29">
      <c r="A29" s="7" t="inlineStr">
        <is>
          <t>CUST021</t>
        </is>
      </c>
      <c r="B29" s="9" t="inlineStr">
        <is>
          <t>Mary Davis</t>
        </is>
      </c>
      <c r="C29" s="7" t="inlineStr">
        <is>
          <t>East</t>
        </is>
      </c>
      <c r="D29" s="11" t="n">
        <v>1383.3</v>
      </c>
      <c r="E29" s="11" t="n">
        <v>497.99</v>
      </c>
      <c r="F29" s="22" t="n">
        <v>8</v>
      </c>
    </row>
    <row r="30">
      <c r="A30" s="7" t="inlineStr">
        <is>
          <t>CUST020</t>
        </is>
      </c>
      <c r="B30" s="9" t="inlineStr">
        <is>
          <t>David Brown</t>
        </is>
      </c>
      <c r="C30" s="7" t="inlineStr">
        <is>
          <t>West</t>
        </is>
      </c>
      <c r="D30" s="11" t="n">
        <v>1371.34</v>
      </c>
      <c r="E30" s="11" t="n">
        <v>455.97</v>
      </c>
      <c r="F30" s="22" t="n">
        <v>5</v>
      </c>
    </row>
    <row r="31">
      <c r="A31" s="7" t="inlineStr">
        <is>
          <t>CUST012</t>
        </is>
      </c>
      <c r="B31" s="9" t="inlineStr">
        <is>
          <t>Mary Wilson</t>
        </is>
      </c>
      <c r="C31" s="7" t="inlineStr">
        <is>
          <t>West</t>
        </is>
      </c>
      <c r="D31" s="11" t="n">
        <v>1360.36</v>
      </c>
      <c r="E31" s="11" t="n">
        <v>680.1799999999999</v>
      </c>
      <c r="F31" s="22" t="n">
        <v>17</v>
      </c>
    </row>
    <row r="32">
      <c r="A32" s="7" t="inlineStr">
        <is>
          <t>CUST022</t>
        </is>
      </c>
      <c r="B32" s="9" t="inlineStr">
        <is>
          <t>James Wilson</t>
        </is>
      </c>
      <c r="C32" s="7" t="inlineStr">
        <is>
          <t>West</t>
        </is>
      </c>
      <c r="D32" s="11" t="n">
        <v>1353.79</v>
      </c>
      <c r="E32" s="11" t="n">
        <v>487.36</v>
      </c>
      <c r="F32" s="22" t="n">
        <v>14</v>
      </c>
    </row>
    <row r="33">
      <c r="A33" s="7" t="inlineStr">
        <is>
          <t>CUST009</t>
        </is>
      </c>
      <c r="B33" s="9" t="inlineStr">
        <is>
          <t>Emma Wilson</t>
        </is>
      </c>
      <c r="C33" s="7" t="inlineStr">
        <is>
          <t>South</t>
        </is>
      </c>
      <c r="D33" s="11" t="n">
        <v>1350.33</v>
      </c>
      <c r="E33" s="11" t="n">
        <v>472.62</v>
      </c>
      <c r="F33" s="22" t="n">
        <v>10</v>
      </c>
    </row>
    <row r="34">
      <c r="A34" s="7" t="inlineStr">
        <is>
          <t>CUST014</t>
        </is>
      </c>
      <c r="B34" s="9" t="inlineStr">
        <is>
          <t>David Thomas</t>
        </is>
      </c>
      <c r="C34" s="7" t="inlineStr">
        <is>
          <t>Central</t>
        </is>
      </c>
      <c r="D34" s="11" t="n">
        <v>1343.13</v>
      </c>
      <c r="E34" s="11" t="n">
        <v>456.66</v>
      </c>
      <c r="F34" s="22" t="n">
        <v>14</v>
      </c>
    </row>
    <row r="35">
      <c r="A35" s="7" t="inlineStr">
        <is>
          <t>CUST003</t>
        </is>
      </c>
      <c r="B35" s="9" t="inlineStr">
        <is>
          <t>James Davis</t>
        </is>
      </c>
      <c r="C35" s="7" t="inlineStr">
        <is>
          <t>South</t>
        </is>
      </c>
      <c r="D35" s="11" t="n">
        <v>1335.87</v>
      </c>
      <c r="E35" s="11" t="n">
        <v>333.97</v>
      </c>
      <c r="F35" s="22" t="n">
        <v>17</v>
      </c>
    </row>
    <row r="36">
      <c r="A36" s="7" t="inlineStr">
        <is>
          <t>CUST001</t>
        </is>
      </c>
      <c r="B36" s="9" t="inlineStr">
        <is>
          <t>Linda Wilson</t>
        </is>
      </c>
      <c r="C36" s="7" t="inlineStr">
        <is>
          <t>West</t>
        </is>
      </c>
      <c r="D36" s="11" t="n">
        <v>1317.53</v>
      </c>
      <c r="E36" s="11" t="n">
        <v>312.91</v>
      </c>
      <c r="F36" s="22" t="n">
        <v>12</v>
      </c>
    </row>
    <row r="37">
      <c r="A37" s="7" t="inlineStr">
        <is>
          <t>CUST004</t>
        </is>
      </c>
      <c r="B37" s="9" t="inlineStr">
        <is>
          <t>James Davis</t>
        </is>
      </c>
      <c r="C37" s="7" t="inlineStr">
        <is>
          <t>East</t>
        </is>
      </c>
      <c r="D37" s="11" t="n">
        <v>1311.26</v>
      </c>
      <c r="E37" s="11" t="n">
        <v>531.0599999999999</v>
      </c>
      <c r="F37" s="22" t="n">
        <v>6</v>
      </c>
    </row>
    <row r="38">
      <c r="A38" s="7" t="inlineStr">
        <is>
          <t>CUST019</t>
        </is>
      </c>
      <c r="B38" s="9" t="inlineStr">
        <is>
          <t>Linda Jackson</t>
        </is>
      </c>
      <c r="C38" s="7" t="inlineStr">
        <is>
          <t>Central</t>
        </is>
      </c>
      <c r="D38" s="11" t="n">
        <v>1301.89</v>
      </c>
      <c r="E38" s="11" t="n">
        <v>553.3</v>
      </c>
      <c r="F38" s="22" t="n">
        <v>7</v>
      </c>
    </row>
    <row r="39">
      <c r="A39" s="7" t="inlineStr">
        <is>
          <t>CUST025</t>
        </is>
      </c>
      <c r="B39" s="9" t="inlineStr">
        <is>
          <t>Mary Jackson</t>
        </is>
      </c>
      <c r="C39" s="7" t="inlineStr">
        <is>
          <t>East</t>
        </is>
      </c>
      <c r="D39" s="11" t="n">
        <v>1286.54</v>
      </c>
      <c r="E39" s="11" t="n">
        <v>450.29</v>
      </c>
      <c r="F39" s="22" t="n">
        <v>8</v>
      </c>
    </row>
    <row r="40">
      <c r="A40" s="7" t="inlineStr">
        <is>
          <t>CUST004</t>
        </is>
      </c>
      <c r="B40" s="9" t="inlineStr">
        <is>
          <t>James Taylor</t>
        </is>
      </c>
      <c r="C40" s="7" t="inlineStr">
        <is>
          <t>Central</t>
        </is>
      </c>
      <c r="D40" s="11" t="n">
        <v>1277.85</v>
      </c>
      <c r="E40" s="11" t="n">
        <v>511.14</v>
      </c>
      <c r="F40" s="22" t="n">
        <v>18</v>
      </c>
    </row>
    <row r="41">
      <c r="A41" s="7" t="inlineStr">
        <is>
          <t>CUST022</t>
        </is>
      </c>
      <c r="B41" s="9" t="inlineStr">
        <is>
          <t>Linda Brown</t>
        </is>
      </c>
      <c r="C41" s="7" t="inlineStr">
        <is>
          <t>South</t>
        </is>
      </c>
      <c r="D41" s="11" t="n">
        <v>1264.49</v>
      </c>
      <c r="E41" s="11" t="n">
        <v>480.51</v>
      </c>
      <c r="F41" s="22" t="n">
        <v>16</v>
      </c>
    </row>
    <row r="42">
      <c r="A42" s="7" t="inlineStr">
        <is>
          <t>CUST005</t>
        </is>
      </c>
      <c r="B42" s="9" t="inlineStr">
        <is>
          <t>Linda Taylor</t>
        </is>
      </c>
      <c r="C42" s="7" t="inlineStr">
        <is>
          <t>Central</t>
        </is>
      </c>
      <c r="D42" s="11" t="n">
        <v>1261.34</v>
      </c>
      <c r="E42" s="11" t="n">
        <v>441.47</v>
      </c>
      <c r="F42" s="22" t="n">
        <v>3</v>
      </c>
    </row>
    <row r="43">
      <c r="A43" s="7" t="inlineStr">
        <is>
          <t>CUST008</t>
        </is>
      </c>
      <c r="B43" s="9" t="inlineStr">
        <is>
          <t>Mary Davis</t>
        </is>
      </c>
      <c r="C43" s="7" t="inlineStr">
        <is>
          <t>Central</t>
        </is>
      </c>
      <c r="D43" s="11" t="n">
        <v>1250.71</v>
      </c>
      <c r="E43" s="11" t="n">
        <v>562.8200000000001</v>
      </c>
      <c r="F43" s="22" t="n">
        <v>7</v>
      </c>
    </row>
    <row r="44">
      <c r="A44" s="7" t="inlineStr">
        <is>
          <t>CUST013</t>
        </is>
      </c>
      <c r="B44" s="9" t="inlineStr">
        <is>
          <t>Linda Wilson</t>
        </is>
      </c>
      <c r="C44" s="7" t="inlineStr">
        <is>
          <t>Central</t>
        </is>
      </c>
      <c r="D44" s="11" t="n">
        <v>1249.1</v>
      </c>
      <c r="E44" s="11" t="n">
        <v>474.66</v>
      </c>
      <c r="F44" s="22" t="n">
        <v>4</v>
      </c>
    </row>
    <row r="45">
      <c r="A45" s="7" t="inlineStr">
        <is>
          <t>CUST003</t>
        </is>
      </c>
      <c r="B45" s="9" t="inlineStr">
        <is>
          <t>Emma Davis</t>
        </is>
      </c>
      <c r="C45" s="7" t="inlineStr">
        <is>
          <t>North</t>
        </is>
      </c>
      <c r="D45" s="11" t="n">
        <v>1248.82</v>
      </c>
      <c r="E45" s="11" t="n">
        <v>449.58</v>
      </c>
      <c r="F45" s="22" t="n">
        <v>2</v>
      </c>
    </row>
    <row r="46">
      <c r="A46" s="7" t="inlineStr">
        <is>
          <t>CUST026</t>
        </is>
      </c>
      <c r="B46" s="9" t="inlineStr">
        <is>
          <t>Emma Taylor</t>
        </is>
      </c>
      <c r="C46" s="7" t="inlineStr">
        <is>
          <t>East</t>
        </is>
      </c>
      <c r="D46" s="11" t="n">
        <v>1231.26</v>
      </c>
      <c r="E46" s="11" t="n">
        <v>492.5</v>
      </c>
      <c r="F46" s="22" t="n">
        <v>9</v>
      </c>
    </row>
    <row r="47">
      <c r="A47" s="7" t="inlineStr">
        <is>
          <t>CUST026</t>
        </is>
      </c>
      <c r="B47" s="9" t="inlineStr">
        <is>
          <t>Emma Wilson</t>
        </is>
      </c>
      <c r="C47" s="7" t="inlineStr">
        <is>
          <t>North</t>
        </is>
      </c>
      <c r="D47" s="11" t="n">
        <v>1227.25</v>
      </c>
      <c r="E47" s="11" t="n">
        <v>365.11</v>
      </c>
      <c r="F47" s="22" t="n">
        <v>12</v>
      </c>
    </row>
    <row r="48">
      <c r="A48" s="7" t="inlineStr">
        <is>
          <t>CUST015</t>
        </is>
      </c>
      <c r="B48" s="9" t="inlineStr">
        <is>
          <t>James Wilson</t>
        </is>
      </c>
      <c r="C48" s="7" t="inlineStr">
        <is>
          <t>South</t>
        </is>
      </c>
      <c r="D48" s="11" t="n">
        <v>1226.62</v>
      </c>
      <c r="E48" s="11" t="n">
        <v>551.98</v>
      </c>
      <c r="F48" s="22" t="n">
        <v>7</v>
      </c>
    </row>
    <row r="49">
      <c r="A49" s="7" t="inlineStr">
        <is>
          <t>CUST025</t>
        </is>
      </c>
      <c r="B49" s="9" t="inlineStr">
        <is>
          <t>David Davis</t>
        </is>
      </c>
      <c r="C49" s="7" t="inlineStr">
        <is>
          <t>Central</t>
        </is>
      </c>
      <c r="D49" s="11" t="n">
        <v>1225.42</v>
      </c>
      <c r="E49" s="11" t="n">
        <v>468.72</v>
      </c>
      <c r="F49" s="22" t="n">
        <v>8</v>
      </c>
    </row>
    <row r="50">
      <c r="A50" s="7" t="inlineStr">
        <is>
          <t>CUST012</t>
        </is>
      </c>
      <c r="B50" s="9" t="inlineStr">
        <is>
          <t>Linda Wilson</t>
        </is>
      </c>
      <c r="C50" s="7" t="inlineStr">
        <is>
          <t>West</t>
        </is>
      </c>
      <c r="D50" s="11" t="n">
        <v>1215.26</v>
      </c>
      <c r="E50" s="11" t="n">
        <v>258.24</v>
      </c>
      <c r="F50" s="22" t="n">
        <v>5</v>
      </c>
    </row>
    <row r="51">
      <c r="A51" s="7" t="inlineStr">
        <is>
          <t>CUST011</t>
        </is>
      </c>
      <c r="B51" s="9" t="inlineStr">
        <is>
          <t>Emma Wilson</t>
        </is>
      </c>
      <c r="C51" s="7" t="inlineStr">
        <is>
          <t>East</t>
        </is>
      </c>
      <c r="D51" s="11" t="n">
        <v>1213.48</v>
      </c>
      <c r="E51" s="11" t="n">
        <v>461.12</v>
      </c>
      <c r="F51" s="22" t="n">
        <v>5</v>
      </c>
    </row>
    <row r="52">
      <c r="A52" s="7" t="inlineStr">
        <is>
          <t>CUST021</t>
        </is>
      </c>
      <c r="B52" s="9" t="inlineStr">
        <is>
          <t>James Wilson</t>
        </is>
      </c>
      <c r="C52" s="7" t="inlineStr">
        <is>
          <t>North</t>
        </is>
      </c>
      <c r="D52" s="11" t="n">
        <v>1205.82</v>
      </c>
      <c r="E52" s="11" t="n">
        <v>542.62</v>
      </c>
      <c r="F52" s="22" t="n">
        <v>11</v>
      </c>
    </row>
    <row r="53">
      <c r="A53" s="7" t="inlineStr">
        <is>
          <t>CUST015</t>
        </is>
      </c>
      <c r="B53" s="9" t="inlineStr">
        <is>
          <t>Linda Taylor</t>
        </is>
      </c>
      <c r="C53" s="7" t="inlineStr">
        <is>
          <t>North</t>
        </is>
      </c>
      <c r="D53" s="11" t="n">
        <v>1200.9</v>
      </c>
      <c r="E53" s="11" t="n">
        <v>513.38</v>
      </c>
      <c r="F53" s="22" t="n">
        <v>14</v>
      </c>
    </row>
    <row r="54">
      <c r="A54" s="7" t="inlineStr">
        <is>
          <t>CUST006</t>
        </is>
      </c>
      <c r="B54" s="9" t="inlineStr">
        <is>
          <t>David Anderson</t>
        </is>
      </c>
      <c r="C54" s="7" t="inlineStr">
        <is>
          <t>West</t>
        </is>
      </c>
      <c r="D54" s="11" t="n">
        <v>1193.61</v>
      </c>
      <c r="E54" s="11" t="n">
        <v>355.1</v>
      </c>
      <c r="F54" s="22" t="n">
        <v>1</v>
      </c>
    </row>
    <row r="55">
      <c r="A55" s="7" t="inlineStr">
        <is>
          <t>CUST007</t>
        </is>
      </c>
      <c r="B55" s="9" t="inlineStr">
        <is>
          <t>Michael Anderson</t>
        </is>
      </c>
      <c r="C55" s="7" t="inlineStr">
        <is>
          <t>Central</t>
        </is>
      </c>
      <c r="D55" s="11" t="n">
        <v>1191.58</v>
      </c>
      <c r="E55" s="11" t="n">
        <v>452.8</v>
      </c>
      <c r="F55" s="22" t="n">
        <v>14</v>
      </c>
    </row>
    <row r="56">
      <c r="A56" s="7" t="inlineStr">
        <is>
          <t>CUST009</t>
        </is>
      </c>
      <c r="B56" s="9" t="inlineStr">
        <is>
          <t>Mary Davis</t>
        </is>
      </c>
      <c r="C56" s="7" t="inlineStr">
        <is>
          <t>North</t>
        </is>
      </c>
      <c r="D56" s="11" t="n">
        <v>1189.83</v>
      </c>
      <c r="E56" s="11" t="n">
        <v>380.75</v>
      </c>
      <c r="F56" s="22" t="n">
        <v>2</v>
      </c>
    </row>
    <row r="57">
      <c r="A57" s="7" t="inlineStr">
        <is>
          <t>CUST021</t>
        </is>
      </c>
      <c r="B57" s="9" t="inlineStr">
        <is>
          <t>Michael Anderson</t>
        </is>
      </c>
      <c r="C57" s="7" t="inlineStr">
        <is>
          <t>East</t>
        </is>
      </c>
      <c r="D57" s="11" t="n">
        <v>1186.85</v>
      </c>
      <c r="E57" s="11" t="n">
        <v>332.32</v>
      </c>
      <c r="F57" s="22" t="n">
        <v>19</v>
      </c>
    </row>
    <row r="58">
      <c r="A58" s="7" t="inlineStr">
        <is>
          <t>CUST009</t>
        </is>
      </c>
      <c r="B58" s="9" t="inlineStr">
        <is>
          <t>Michael Anderson</t>
        </is>
      </c>
      <c r="C58" s="7" t="inlineStr">
        <is>
          <t>South</t>
        </is>
      </c>
      <c r="D58" s="11" t="n">
        <v>1184.25</v>
      </c>
      <c r="E58" s="11" t="n">
        <v>331.59</v>
      </c>
      <c r="F58" s="22" t="n">
        <v>11</v>
      </c>
    </row>
    <row r="59">
      <c r="A59" s="7" t="inlineStr">
        <is>
          <t>CUST010</t>
        </is>
      </c>
      <c r="B59" s="9" t="inlineStr">
        <is>
          <t>Linda Brown</t>
        </is>
      </c>
      <c r="C59" s="7" t="inlineStr">
        <is>
          <t>South</t>
        </is>
      </c>
      <c r="D59" s="11" t="n">
        <v>1173.12</v>
      </c>
      <c r="E59" s="11" t="n">
        <v>293.28</v>
      </c>
      <c r="F59" s="22" t="n">
        <v>18</v>
      </c>
    </row>
    <row r="60">
      <c r="A60" s="7" t="inlineStr">
        <is>
          <t>CUST029</t>
        </is>
      </c>
      <c r="B60" s="9" t="inlineStr">
        <is>
          <t>Emma Wilson</t>
        </is>
      </c>
      <c r="C60" s="7" t="inlineStr">
        <is>
          <t>West</t>
        </is>
      </c>
      <c r="D60" s="11" t="n">
        <v>1172.97</v>
      </c>
      <c r="E60" s="11" t="n">
        <v>348.96</v>
      </c>
      <c r="F60" s="22" t="n">
        <v>7</v>
      </c>
    </row>
    <row r="61">
      <c r="A61" s="7" t="inlineStr">
        <is>
          <t>CUST013</t>
        </is>
      </c>
      <c r="B61" s="9" t="inlineStr">
        <is>
          <t>Mary Wilson</t>
        </is>
      </c>
      <c r="C61" s="7" t="inlineStr">
        <is>
          <t>North</t>
        </is>
      </c>
      <c r="D61" s="11" t="n">
        <v>1171.18</v>
      </c>
      <c r="E61" s="11" t="n">
        <v>556.3099999999999</v>
      </c>
      <c r="F61" s="22" t="n">
        <v>19</v>
      </c>
    </row>
    <row r="62">
      <c r="A62" s="7" t="inlineStr">
        <is>
          <t>CUST028</t>
        </is>
      </c>
      <c r="B62" s="9" t="inlineStr">
        <is>
          <t>Linda Brown</t>
        </is>
      </c>
      <c r="C62" s="7" t="inlineStr">
        <is>
          <t>South</t>
        </is>
      </c>
      <c r="D62" s="11" t="n">
        <v>1163.01</v>
      </c>
      <c r="E62" s="11" t="n">
        <v>581.5</v>
      </c>
      <c r="F62" s="22" t="n">
        <v>5</v>
      </c>
    </row>
    <row r="63">
      <c r="A63" s="7" t="inlineStr">
        <is>
          <t>CUST026</t>
        </is>
      </c>
      <c r="B63" s="9" t="inlineStr">
        <is>
          <t>Sarah Anderson</t>
        </is>
      </c>
      <c r="C63" s="7" t="inlineStr">
        <is>
          <t>West</t>
        </is>
      </c>
      <c r="D63" s="11" t="n">
        <v>1161.67</v>
      </c>
      <c r="E63" s="11" t="n">
        <v>232.33</v>
      </c>
      <c r="F63" s="22" t="n">
        <v>19</v>
      </c>
    </row>
    <row r="64">
      <c r="A64" s="7" t="inlineStr">
        <is>
          <t>CUST003</t>
        </is>
      </c>
      <c r="B64" s="9" t="inlineStr">
        <is>
          <t>James Wilson</t>
        </is>
      </c>
      <c r="C64" s="7" t="inlineStr">
        <is>
          <t>West</t>
        </is>
      </c>
      <c r="D64" s="11" t="n">
        <v>1158.94</v>
      </c>
      <c r="E64" s="11" t="n">
        <v>231.79</v>
      </c>
      <c r="F64" s="22" t="n">
        <v>19</v>
      </c>
    </row>
    <row r="65">
      <c r="A65" s="7" t="inlineStr">
        <is>
          <t>CUST023</t>
        </is>
      </c>
      <c r="B65" s="9" t="inlineStr">
        <is>
          <t>James Wilson</t>
        </is>
      </c>
      <c r="C65" s="7" t="inlineStr">
        <is>
          <t>East</t>
        </is>
      </c>
      <c r="D65" s="11" t="n">
        <v>1154.33</v>
      </c>
      <c r="E65" s="11" t="n">
        <v>441.53</v>
      </c>
      <c r="F65" s="22" t="n">
        <v>11</v>
      </c>
    </row>
    <row r="66">
      <c r="A66" s="7" t="inlineStr">
        <is>
          <t>CUST005</t>
        </is>
      </c>
      <c r="B66" s="9" t="inlineStr">
        <is>
          <t>David Smith</t>
        </is>
      </c>
      <c r="C66" s="7" t="inlineStr">
        <is>
          <t>South</t>
        </is>
      </c>
      <c r="D66" s="11" t="n">
        <v>1151.21</v>
      </c>
      <c r="E66" s="11" t="n">
        <v>414.44</v>
      </c>
      <c r="F66" s="22" t="n">
        <v>15</v>
      </c>
    </row>
    <row r="67">
      <c r="A67" s="7" t="inlineStr">
        <is>
          <t>CUST021</t>
        </is>
      </c>
      <c r="B67" s="9" t="inlineStr">
        <is>
          <t>Emma Davis</t>
        </is>
      </c>
      <c r="C67" s="7" t="inlineStr">
        <is>
          <t>Central</t>
        </is>
      </c>
      <c r="D67" s="11" t="n">
        <v>1150.28</v>
      </c>
      <c r="E67" s="11" t="n">
        <v>437.11</v>
      </c>
      <c r="F67" s="22" t="n">
        <v>8</v>
      </c>
    </row>
    <row r="68">
      <c r="A68" s="7" t="inlineStr">
        <is>
          <t>CUST020</t>
        </is>
      </c>
      <c r="B68" s="9" t="inlineStr">
        <is>
          <t>Linda Jackson</t>
        </is>
      </c>
      <c r="C68" s="7" t="inlineStr">
        <is>
          <t>East</t>
        </is>
      </c>
      <c r="D68" s="11" t="n">
        <v>1143.69</v>
      </c>
      <c r="E68" s="11" t="n">
        <v>400.29</v>
      </c>
      <c r="F68" s="22" t="n">
        <v>17</v>
      </c>
    </row>
    <row r="69">
      <c r="A69" s="7" t="inlineStr">
        <is>
          <t>CUST023</t>
        </is>
      </c>
      <c r="B69" s="9" t="inlineStr">
        <is>
          <t>James Taylor</t>
        </is>
      </c>
      <c r="C69" s="7" t="inlineStr">
        <is>
          <t>South</t>
        </is>
      </c>
      <c r="D69" s="11" t="n">
        <v>1118.34</v>
      </c>
      <c r="E69" s="11" t="n">
        <v>447.34</v>
      </c>
      <c r="F69" s="22" t="n">
        <v>6</v>
      </c>
    </row>
    <row r="70">
      <c r="A70" s="7" t="inlineStr">
        <is>
          <t>CUST028</t>
        </is>
      </c>
      <c r="B70" s="9" t="inlineStr">
        <is>
          <t>James Wilson</t>
        </is>
      </c>
      <c r="C70" s="7" t="inlineStr">
        <is>
          <t>West</t>
        </is>
      </c>
      <c r="D70" s="11" t="n">
        <v>1115.22</v>
      </c>
      <c r="E70" s="11" t="n">
        <v>223.04</v>
      </c>
      <c r="F70" s="22" t="n">
        <v>14</v>
      </c>
    </row>
    <row r="71">
      <c r="A71" s="7" t="inlineStr">
        <is>
          <t>CUST026</t>
        </is>
      </c>
      <c r="B71" s="9" t="inlineStr">
        <is>
          <t>Linda Wilson</t>
        </is>
      </c>
      <c r="C71" s="7" t="inlineStr">
        <is>
          <t>West</t>
        </is>
      </c>
      <c r="D71" s="11" t="n">
        <v>1111.34</v>
      </c>
      <c r="E71" s="11" t="n">
        <v>500.1</v>
      </c>
      <c r="F71" s="22" t="n">
        <v>1</v>
      </c>
    </row>
    <row r="72">
      <c r="A72" s="7" t="inlineStr">
        <is>
          <t>CUST007</t>
        </is>
      </c>
      <c r="B72" s="9" t="inlineStr">
        <is>
          <t>Emma Taylor</t>
        </is>
      </c>
      <c r="C72" s="7" t="inlineStr">
        <is>
          <t>West</t>
        </is>
      </c>
      <c r="D72" s="11" t="n">
        <v>1101.55</v>
      </c>
      <c r="E72" s="11" t="n">
        <v>346.99</v>
      </c>
      <c r="F72" s="22" t="n">
        <v>4</v>
      </c>
    </row>
    <row r="73">
      <c r="A73" s="7" t="inlineStr">
        <is>
          <t>CUST012</t>
        </is>
      </c>
      <c r="B73" s="9" t="inlineStr">
        <is>
          <t>Robert Anderson</t>
        </is>
      </c>
      <c r="C73" s="7" t="inlineStr">
        <is>
          <t>West</t>
        </is>
      </c>
      <c r="D73" s="11" t="n">
        <v>1101.28</v>
      </c>
      <c r="E73" s="11" t="n">
        <v>440.51</v>
      </c>
      <c r="F73" s="22" t="n">
        <v>3</v>
      </c>
    </row>
    <row r="74">
      <c r="A74" s="7" t="inlineStr">
        <is>
          <t>CUST029</t>
        </is>
      </c>
      <c r="B74" s="9" t="inlineStr">
        <is>
          <t>Emma Wilson</t>
        </is>
      </c>
      <c r="C74" s="7" t="inlineStr">
        <is>
          <t>South</t>
        </is>
      </c>
      <c r="D74" s="11" t="n">
        <v>1100.1</v>
      </c>
      <c r="E74" s="11" t="n">
        <v>261.27</v>
      </c>
      <c r="F74" s="22" t="n">
        <v>5</v>
      </c>
    </row>
    <row r="75">
      <c r="A75" s="7" t="inlineStr">
        <is>
          <t>CUST004</t>
        </is>
      </c>
      <c r="B75" s="9" t="inlineStr">
        <is>
          <t>Linda Wilson</t>
        </is>
      </c>
      <c r="C75" s="7" t="inlineStr">
        <is>
          <t>East</t>
        </is>
      </c>
      <c r="D75" s="11" t="n">
        <v>1099.69</v>
      </c>
      <c r="E75" s="11" t="n">
        <v>439.88</v>
      </c>
      <c r="F75" s="22" t="n">
        <v>6</v>
      </c>
    </row>
    <row r="76">
      <c r="A76" s="7" t="inlineStr">
        <is>
          <t>CUST015</t>
        </is>
      </c>
      <c r="B76" s="9" t="inlineStr">
        <is>
          <t>Lisa Thomas</t>
        </is>
      </c>
      <c r="C76" s="7" t="inlineStr">
        <is>
          <t>East</t>
        </is>
      </c>
      <c r="D76" s="11" t="n">
        <v>1098.08</v>
      </c>
      <c r="E76" s="11" t="n">
        <v>395.31</v>
      </c>
      <c r="F76" s="22" t="n">
        <v>9</v>
      </c>
    </row>
    <row r="77">
      <c r="A77" s="7" t="inlineStr">
        <is>
          <t>CUST008</t>
        </is>
      </c>
      <c r="B77" s="9" t="inlineStr">
        <is>
          <t>Emma Wilson</t>
        </is>
      </c>
      <c r="C77" s="7" t="inlineStr">
        <is>
          <t>East</t>
        </is>
      </c>
      <c r="D77" s="11" t="n">
        <v>1093.38</v>
      </c>
      <c r="E77" s="11" t="n">
        <v>344.41</v>
      </c>
      <c r="F77" s="22" t="n">
        <v>17</v>
      </c>
    </row>
    <row r="78">
      <c r="A78" s="7" t="inlineStr">
        <is>
          <t>CUST030</t>
        </is>
      </c>
      <c r="B78" s="9" t="inlineStr">
        <is>
          <t>Sarah Davis</t>
        </is>
      </c>
      <c r="C78" s="7" t="inlineStr">
        <is>
          <t>South</t>
        </is>
      </c>
      <c r="D78" s="11" t="n">
        <v>1086.93</v>
      </c>
      <c r="E78" s="11" t="n">
        <v>380.43</v>
      </c>
      <c r="F78" s="22" t="n">
        <v>2</v>
      </c>
    </row>
    <row r="79">
      <c r="A79" s="7" t="inlineStr">
        <is>
          <t>CUST001</t>
        </is>
      </c>
      <c r="B79" s="9" t="inlineStr">
        <is>
          <t>Lisa Thomas</t>
        </is>
      </c>
      <c r="C79" s="7" t="inlineStr">
        <is>
          <t>North</t>
        </is>
      </c>
      <c r="D79" s="11" t="n">
        <v>1077.92</v>
      </c>
      <c r="E79" s="11" t="n">
        <v>358.41</v>
      </c>
      <c r="F79" s="22" t="n">
        <v>3</v>
      </c>
    </row>
    <row r="80">
      <c r="A80" s="7" t="inlineStr">
        <is>
          <t>CUST008</t>
        </is>
      </c>
      <c r="B80" s="9" t="inlineStr">
        <is>
          <t>Lisa Thomas</t>
        </is>
      </c>
      <c r="C80" s="7" t="inlineStr">
        <is>
          <t>Central</t>
        </is>
      </c>
      <c r="D80" s="11" t="n">
        <v>1076.33</v>
      </c>
      <c r="E80" s="11" t="n">
        <v>484.35</v>
      </c>
      <c r="F80" s="22" t="n">
        <v>2</v>
      </c>
    </row>
    <row r="81">
      <c r="A81" s="7" t="inlineStr">
        <is>
          <t>CUST005</t>
        </is>
      </c>
      <c r="B81" s="9" t="inlineStr">
        <is>
          <t>Lisa Davis</t>
        </is>
      </c>
      <c r="C81" s="7" t="inlineStr">
        <is>
          <t>Central</t>
        </is>
      </c>
      <c r="D81" s="11" t="n">
        <v>1070.68</v>
      </c>
      <c r="E81" s="11" t="n">
        <v>406.86</v>
      </c>
      <c r="F81" s="22" t="n">
        <v>7</v>
      </c>
    </row>
    <row r="82">
      <c r="A82" s="7" t="inlineStr">
        <is>
          <t>CUST014</t>
        </is>
      </c>
      <c r="B82" s="9" t="inlineStr">
        <is>
          <t>Emma Davis</t>
        </is>
      </c>
      <c r="C82" s="7" t="inlineStr">
        <is>
          <t>South</t>
        </is>
      </c>
      <c r="D82" s="11" t="n">
        <v>1064.19</v>
      </c>
      <c r="E82" s="11" t="n">
        <v>404.39</v>
      </c>
      <c r="F82" s="22" t="n">
        <v>18</v>
      </c>
    </row>
    <row r="83">
      <c r="A83" s="7" t="inlineStr">
        <is>
          <t>CUST018</t>
        </is>
      </c>
      <c r="B83" s="9" t="inlineStr">
        <is>
          <t>Lisa Thomas</t>
        </is>
      </c>
      <c r="C83" s="7" t="inlineStr">
        <is>
          <t>South</t>
        </is>
      </c>
      <c r="D83" s="11" t="n">
        <v>1061.04</v>
      </c>
      <c r="E83" s="11" t="n">
        <v>265.26</v>
      </c>
      <c r="F83" s="22" t="n">
        <v>1</v>
      </c>
    </row>
    <row r="84">
      <c r="A84" s="7" t="inlineStr">
        <is>
          <t>CUST015</t>
        </is>
      </c>
      <c r="B84" s="9" t="inlineStr">
        <is>
          <t>Robert Anderson</t>
        </is>
      </c>
      <c r="C84" s="7" t="inlineStr">
        <is>
          <t>South</t>
        </is>
      </c>
      <c r="D84" s="11" t="n">
        <v>1054.56</v>
      </c>
      <c r="E84" s="11" t="n">
        <v>332.19</v>
      </c>
      <c r="F84" s="22" t="n">
        <v>11</v>
      </c>
    </row>
    <row r="85">
      <c r="A85" s="7" t="inlineStr">
        <is>
          <t>CUST019</t>
        </is>
      </c>
      <c r="B85" s="9" t="inlineStr">
        <is>
          <t>James Davis</t>
        </is>
      </c>
      <c r="C85" s="7" t="inlineStr">
        <is>
          <t>West</t>
        </is>
      </c>
      <c r="D85" s="11" t="n">
        <v>1036.09</v>
      </c>
      <c r="E85" s="11" t="n">
        <v>331.55</v>
      </c>
      <c r="F85" s="22" t="n">
        <v>4</v>
      </c>
    </row>
    <row r="86">
      <c r="A86" s="7" t="inlineStr">
        <is>
          <t>CUST003</t>
        </is>
      </c>
      <c r="B86" s="9" t="inlineStr">
        <is>
          <t>James Wilson</t>
        </is>
      </c>
      <c r="C86" s="7" t="inlineStr">
        <is>
          <t>North</t>
        </is>
      </c>
      <c r="D86" s="11" t="n">
        <v>1034.7</v>
      </c>
      <c r="E86" s="11" t="n">
        <v>307.82</v>
      </c>
      <c r="F86" s="22" t="n">
        <v>15</v>
      </c>
    </row>
    <row r="87">
      <c r="A87" s="7" t="inlineStr">
        <is>
          <t>CUST026</t>
        </is>
      </c>
      <c r="B87" s="9" t="inlineStr">
        <is>
          <t>David Brown</t>
        </is>
      </c>
      <c r="C87" s="7" t="inlineStr">
        <is>
          <t>West</t>
        </is>
      </c>
      <c r="D87" s="11" t="n">
        <v>1029.8</v>
      </c>
      <c r="E87" s="11" t="n">
        <v>257.45</v>
      </c>
      <c r="F87" s="22" t="n">
        <v>3</v>
      </c>
    </row>
    <row r="88">
      <c r="A88" s="7" t="inlineStr">
        <is>
          <t>CUST022</t>
        </is>
      </c>
      <c r="B88" s="9" t="inlineStr">
        <is>
          <t>David Davis</t>
        </is>
      </c>
      <c r="C88" s="7" t="inlineStr">
        <is>
          <t>Central</t>
        </is>
      </c>
      <c r="D88" s="11" t="n">
        <v>1023.21</v>
      </c>
      <c r="E88" s="11" t="n">
        <v>388.82</v>
      </c>
      <c r="F88" s="22" t="n">
        <v>18</v>
      </c>
    </row>
    <row r="89">
      <c r="A89" s="7" t="inlineStr">
        <is>
          <t>CUST017</t>
        </is>
      </c>
      <c r="B89" s="9" t="inlineStr">
        <is>
          <t>Mary Davis</t>
        </is>
      </c>
      <c r="C89" s="7" t="inlineStr">
        <is>
          <t>Central</t>
        </is>
      </c>
      <c r="D89" s="11" t="n">
        <v>1022.23</v>
      </c>
      <c r="E89" s="11" t="n">
        <v>460</v>
      </c>
      <c r="F89" s="22" t="n">
        <v>8</v>
      </c>
    </row>
    <row r="90">
      <c r="A90" s="7" t="inlineStr">
        <is>
          <t>CUST007</t>
        </is>
      </c>
      <c r="B90" s="9" t="inlineStr">
        <is>
          <t>Linda Jackson</t>
        </is>
      </c>
      <c r="C90" s="7" t="inlineStr">
        <is>
          <t>South</t>
        </is>
      </c>
      <c r="D90" s="11" t="n">
        <v>1021.47</v>
      </c>
      <c r="E90" s="11" t="n">
        <v>242.6</v>
      </c>
      <c r="F90" s="22" t="n">
        <v>6</v>
      </c>
    </row>
    <row r="91">
      <c r="A91" s="7" t="inlineStr">
        <is>
          <t>CUST021</t>
        </is>
      </c>
      <c r="B91" s="9" t="inlineStr">
        <is>
          <t>Mary Jackson</t>
        </is>
      </c>
      <c r="C91" s="7" t="inlineStr">
        <is>
          <t>North</t>
        </is>
      </c>
      <c r="D91" s="11" t="n">
        <v>1020.26</v>
      </c>
      <c r="E91" s="11" t="n">
        <v>242.31</v>
      </c>
      <c r="F91" s="22" t="n">
        <v>11</v>
      </c>
    </row>
    <row r="92">
      <c r="A92" s="7" t="inlineStr">
        <is>
          <t>CUST025</t>
        </is>
      </c>
      <c r="B92" s="9" t="inlineStr">
        <is>
          <t>Lisa Thomas</t>
        </is>
      </c>
      <c r="C92" s="7" t="inlineStr">
        <is>
          <t>East</t>
        </is>
      </c>
      <c r="D92" s="11" t="n">
        <v>1014.56</v>
      </c>
      <c r="E92" s="11" t="n">
        <v>410.9</v>
      </c>
      <c r="F92" s="22" t="n">
        <v>10</v>
      </c>
    </row>
    <row r="93">
      <c r="A93" s="7" t="inlineStr">
        <is>
          <t>CUST013</t>
        </is>
      </c>
      <c r="B93" s="9" t="inlineStr">
        <is>
          <t>Linda Taylor</t>
        </is>
      </c>
      <c r="C93" s="7" t="inlineStr">
        <is>
          <t>Central</t>
        </is>
      </c>
      <c r="D93" s="11" t="n">
        <v>1014.43</v>
      </c>
      <c r="E93" s="11" t="n">
        <v>344.91</v>
      </c>
      <c r="F93" s="22" t="n">
        <v>2</v>
      </c>
    </row>
    <row r="94">
      <c r="A94" s="7" t="inlineStr">
        <is>
          <t>CUST008</t>
        </is>
      </c>
      <c r="B94" s="9" t="inlineStr">
        <is>
          <t>David Davis</t>
        </is>
      </c>
      <c r="C94" s="7" t="inlineStr">
        <is>
          <t>Central</t>
        </is>
      </c>
      <c r="D94" s="11" t="n">
        <v>1014.09</v>
      </c>
      <c r="E94" s="11" t="n">
        <v>202.82</v>
      </c>
      <c r="F94" s="22" t="n">
        <v>13</v>
      </c>
    </row>
    <row r="95">
      <c r="A95" s="7" t="inlineStr">
        <is>
          <t>CUST025</t>
        </is>
      </c>
      <c r="B95" s="9" t="inlineStr">
        <is>
          <t>Lisa Davis</t>
        </is>
      </c>
      <c r="C95" s="7" t="inlineStr">
        <is>
          <t>East</t>
        </is>
      </c>
      <c r="D95" s="11" t="n">
        <v>1010.58</v>
      </c>
      <c r="E95" s="11" t="n">
        <v>343.6</v>
      </c>
      <c r="F95" s="22" t="n">
        <v>2</v>
      </c>
    </row>
    <row r="96">
      <c r="A96" s="7" t="inlineStr">
        <is>
          <t>CUST003</t>
        </is>
      </c>
      <c r="B96" s="9" t="inlineStr">
        <is>
          <t>James Davis</t>
        </is>
      </c>
      <c r="C96" s="7" t="inlineStr">
        <is>
          <t>West</t>
        </is>
      </c>
      <c r="D96" s="11" t="n">
        <v>1005.53</v>
      </c>
      <c r="E96" s="11" t="n">
        <v>201.11</v>
      </c>
      <c r="F96" s="22" t="n">
        <v>17</v>
      </c>
    </row>
    <row r="97">
      <c r="A97" s="7" t="inlineStr">
        <is>
          <t>CUST011</t>
        </is>
      </c>
      <c r="B97" s="9" t="inlineStr">
        <is>
          <t>Mary Davis</t>
        </is>
      </c>
      <c r="C97" s="7" t="inlineStr">
        <is>
          <t>North</t>
        </is>
      </c>
      <c r="D97" s="11" t="n">
        <v>1001.57</v>
      </c>
      <c r="E97" s="11" t="n">
        <v>450.71</v>
      </c>
      <c r="F97" s="22" t="n">
        <v>12</v>
      </c>
    </row>
    <row r="98">
      <c r="A98" s="7" t="inlineStr">
        <is>
          <t>CUST010</t>
        </is>
      </c>
      <c r="B98" s="9" t="inlineStr">
        <is>
          <t>David Thomas</t>
        </is>
      </c>
      <c r="C98" s="7" t="inlineStr">
        <is>
          <t>East</t>
        </is>
      </c>
      <c r="D98" s="11" t="n">
        <v>997.61</v>
      </c>
      <c r="E98" s="11" t="n">
        <v>379.09</v>
      </c>
      <c r="F98" s="22" t="n">
        <v>8</v>
      </c>
    </row>
    <row r="99">
      <c r="A99" s="7" t="inlineStr">
        <is>
          <t>CUST016</t>
        </is>
      </c>
      <c r="B99" s="9" t="inlineStr">
        <is>
          <t>Michael Anderson</t>
        </is>
      </c>
      <c r="C99" s="7" t="inlineStr">
        <is>
          <t>North</t>
        </is>
      </c>
      <c r="D99" s="11" t="n">
        <v>990.1900000000001</v>
      </c>
      <c r="E99" s="11" t="n">
        <v>445.59</v>
      </c>
      <c r="F99" s="22" t="n">
        <v>8</v>
      </c>
    </row>
    <row r="100">
      <c r="A100" s="7" t="inlineStr">
        <is>
          <t>CUST021</t>
        </is>
      </c>
      <c r="B100" s="9" t="inlineStr">
        <is>
          <t>David Brown</t>
        </is>
      </c>
      <c r="C100" s="7" t="inlineStr">
        <is>
          <t>West</t>
        </is>
      </c>
      <c r="D100" s="11" t="n">
        <v>984.9299999999999</v>
      </c>
      <c r="E100" s="11" t="n">
        <v>275.78</v>
      </c>
      <c r="F100" s="22" t="n">
        <v>14</v>
      </c>
    </row>
    <row r="101">
      <c r="A101" s="7" t="inlineStr">
        <is>
          <t>CUST028</t>
        </is>
      </c>
      <c r="B101" s="9" t="inlineStr">
        <is>
          <t>Linda Taylor</t>
        </is>
      </c>
      <c r="C101" s="7" t="inlineStr">
        <is>
          <t>East</t>
        </is>
      </c>
      <c r="D101" s="11" t="n">
        <v>983.34</v>
      </c>
      <c r="E101" s="11" t="n">
        <v>398.25</v>
      </c>
      <c r="F101" s="22" t="n">
        <v>19</v>
      </c>
    </row>
    <row r="102">
      <c r="A102" s="7" t="inlineStr">
        <is>
          <t>CUST020</t>
        </is>
      </c>
      <c r="B102" s="9" t="inlineStr">
        <is>
          <t>Linda Moore</t>
        </is>
      </c>
      <c r="C102" s="7" t="inlineStr">
        <is>
          <t>South</t>
        </is>
      </c>
      <c r="D102" s="11" t="n">
        <v>981.2</v>
      </c>
      <c r="E102" s="11" t="n">
        <v>441.54</v>
      </c>
      <c r="F102" s="22" t="n">
        <v>19</v>
      </c>
    </row>
    <row r="103">
      <c r="A103" s="7" t="inlineStr">
        <is>
          <t>CUST024</t>
        </is>
      </c>
      <c r="B103" s="9" t="inlineStr">
        <is>
          <t>Emma Taylor</t>
        </is>
      </c>
      <c r="C103" s="7" t="inlineStr">
        <is>
          <t>East</t>
        </is>
      </c>
      <c r="D103" s="11" t="n">
        <v>980.1799999999999</v>
      </c>
      <c r="E103" s="11" t="n">
        <v>352.86</v>
      </c>
      <c r="F103" s="22" t="n">
        <v>16</v>
      </c>
    </row>
    <row r="104">
      <c r="A104" s="7" t="inlineStr">
        <is>
          <t>CUST030</t>
        </is>
      </c>
      <c r="B104" s="9" t="inlineStr">
        <is>
          <t>Emma Taylor</t>
        </is>
      </c>
      <c r="C104" s="7" t="inlineStr">
        <is>
          <t>Central</t>
        </is>
      </c>
      <c r="D104" s="11" t="n">
        <v>973.26</v>
      </c>
      <c r="E104" s="11" t="n">
        <v>389.3</v>
      </c>
      <c r="F104" s="22" t="n">
        <v>11</v>
      </c>
    </row>
    <row r="105">
      <c r="A105" s="7" t="inlineStr">
        <is>
          <t>CUST021</t>
        </is>
      </c>
      <c r="B105" s="9" t="inlineStr">
        <is>
          <t>Sarah Anderson</t>
        </is>
      </c>
      <c r="C105" s="7" t="inlineStr">
        <is>
          <t>South</t>
        </is>
      </c>
      <c r="D105" s="11" t="n">
        <v>967.89</v>
      </c>
      <c r="E105" s="11" t="n">
        <v>217.78</v>
      </c>
      <c r="F105" s="22" t="n">
        <v>10</v>
      </c>
    </row>
    <row r="106">
      <c r="A106" s="7" t="inlineStr">
        <is>
          <t>CUST018</t>
        </is>
      </c>
      <c r="B106" s="9" t="inlineStr">
        <is>
          <t>Mary Jackson</t>
        </is>
      </c>
      <c r="C106" s="7" t="inlineStr">
        <is>
          <t>South</t>
        </is>
      </c>
      <c r="D106" s="11" t="n">
        <v>966.3</v>
      </c>
      <c r="E106" s="11" t="n">
        <v>328.54</v>
      </c>
      <c r="F106" s="22" t="n">
        <v>2</v>
      </c>
    </row>
    <row r="107">
      <c r="A107" s="7" t="inlineStr">
        <is>
          <t>CUST007</t>
        </is>
      </c>
      <c r="B107" s="9" t="inlineStr">
        <is>
          <t>Michael Anderson</t>
        </is>
      </c>
      <c r="C107" s="7" t="inlineStr">
        <is>
          <t>North</t>
        </is>
      </c>
      <c r="D107" s="11" t="n">
        <v>965.64</v>
      </c>
      <c r="E107" s="11" t="n">
        <v>304.18</v>
      </c>
      <c r="F107" s="22" t="n">
        <v>8</v>
      </c>
    </row>
    <row r="108">
      <c r="A108" s="7" t="inlineStr">
        <is>
          <t>CUST014</t>
        </is>
      </c>
      <c r="B108" s="9" t="inlineStr">
        <is>
          <t>Sarah Davis</t>
        </is>
      </c>
      <c r="C108" s="7" t="inlineStr">
        <is>
          <t>South</t>
        </is>
      </c>
      <c r="D108" s="11" t="n">
        <v>961.62</v>
      </c>
      <c r="E108" s="11" t="n">
        <v>307.72</v>
      </c>
      <c r="F108" s="22" t="n">
        <v>8</v>
      </c>
    </row>
    <row r="109">
      <c r="A109" s="7" t="inlineStr">
        <is>
          <t>CUST026</t>
        </is>
      </c>
      <c r="B109" s="9" t="inlineStr">
        <is>
          <t>Mary Wilson</t>
        </is>
      </c>
      <c r="C109" s="7" t="inlineStr">
        <is>
          <t>North</t>
        </is>
      </c>
      <c r="D109" s="11" t="n">
        <v>957.29</v>
      </c>
      <c r="E109" s="11" t="n">
        <v>318.3</v>
      </c>
      <c r="F109" s="22" t="n">
        <v>4</v>
      </c>
    </row>
    <row r="110">
      <c r="A110" s="7" t="inlineStr">
        <is>
          <t>CUST027</t>
        </is>
      </c>
      <c r="B110" s="9" t="inlineStr">
        <is>
          <t>James Wilson</t>
        </is>
      </c>
      <c r="C110" s="7" t="inlineStr">
        <is>
          <t>West</t>
        </is>
      </c>
      <c r="D110" s="11" t="n">
        <v>956.08</v>
      </c>
      <c r="E110" s="11" t="n">
        <v>378.54</v>
      </c>
      <c r="F110" s="22" t="n">
        <v>36</v>
      </c>
    </row>
    <row r="111">
      <c r="A111" s="7" t="inlineStr">
        <is>
          <t>CUST007</t>
        </is>
      </c>
      <c r="B111" s="9" t="inlineStr">
        <is>
          <t>Lisa Davis</t>
        </is>
      </c>
      <c r="C111" s="7" t="inlineStr">
        <is>
          <t>South</t>
        </is>
      </c>
      <c r="D111" s="11" t="n">
        <v>953.3</v>
      </c>
      <c r="E111" s="11" t="n">
        <v>476.65</v>
      </c>
      <c r="F111" s="22" t="n">
        <v>11</v>
      </c>
    </row>
    <row r="112">
      <c r="A112" s="7" t="inlineStr">
        <is>
          <t>CUST007</t>
        </is>
      </c>
      <c r="B112" s="9" t="inlineStr">
        <is>
          <t>Robert Anderson</t>
        </is>
      </c>
      <c r="C112" s="7" t="inlineStr">
        <is>
          <t>Central</t>
        </is>
      </c>
      <c r="D112" s="11" t="n">
        <v>939.09</v>
      </c>
      <c r="E112" s="11" t="n">
        <v>356.85</v>
      </c>
      <c r="F112" s="22" t="n">
        <v>2</v>
      </c>
    </row>
    <row r="113">
      <c r="A113" s="7" t="inlineStr">
        <is>
          <t>CUST014</t>
        </is>
      </c>
      <c r="B113" s="9" t="inlineStr">
        <is>
          <t>Sarah Anderson</t>
        </is>
      </c>
      <c r="C113" s="7" t="inlineStr">
        <is>
          <t>West</t>
        </is>
      </c>
      <c r="D113" s="11" t="n">
        <v>934.27</v>
      </c>
      <c r="E113" s="11" t="n">
        <v>397.06</v>
      </c>
      <c r="F113" s="22" t="n">
        <v>8</v>
      </c>
    </row>
    <row r="114">
      <c r="A114" s="7" t="inlineStr">
        <is>
          <t>CUST016</t>
        </is>
      </c>
      <c r="B114" s="9" t="inlineStr">
        <is>
          <t>David Thomas</t>
        </is>
      </c>
      <c r="C114" s="7" t="inlineStr">
        <is>
          <t>South</t>
        </is>
      </c>
      <c r="D114" s="11" t="n">
        <v>928.3200000000001</v>
      </c>
      <c r="E114" s="11" t="n">
        <v>440.95</v>
      </c>
      <c r="F114" s="22" t="n">
        <v>2</v>
      </c>
    </row>
    <row r="115">
      <c r="A115" s="7" t="inlineStr">
        <is>
          <t>CUST012</t>
        </is>
      </c>
      <c r="B115" s="9" t="inlineStr">
        <is>
          <t>Mary Davis</t>
        </is>
      </c>
      <c r="C115" s="7" t="inlineStr">
        <is>
          <t>Central</t>
        </is>
      </c>
      <c r="D115" s="11" t="n">
        <v>925.3099999999999</v>
      </c>
      <c r="E115" s="11" t="n">
        <v>374.75</v>
      </c>
      <c r="F115" s="22" t="n">
        <v>8</v>
      </c>
    </row>
    <row r="116">
      <c r="A116" s="7" t="inlineStr">
        <is>
          <t>CUST012</t>
        </is>
      </c>
      <c r="B116" s="9" t="inlineStr">
        <is>
          <t>Lisa Davis</t>
        </is>
      </c>
      <c r="C116" s="7" t="inlineStr">
        <is>
          <t>North</t>
        </is>
      </c>
      <c r="D116" s="11" t="n">
        <v>925.29</v>
      </c>
      <c r="E116" s="11" t="n">
        <v>231.32</v>
      </c>
      <c r="F116" s="22" t="n">
        <v>17</v>
      </c>
    </row>
    <row r="117">
      <c r="A117" s="7" t="inlineStr">
        <is>
          <t>CUST029</t>
        </is>
      </c>
      <c r="B117" s="9" t="inlineStr">
        <is>
          <t>Lisa Thomas</t>
        </is>
      </c>
      <c r="C117" s="7" t="inlineStr">
        <is>
          <t>East</t>
        </is>
      </c>
      <c r="D117" s="11" t="n">
        <v>919.1799999999999</v>
      </c>
      <c r="E117" s="11" t="n">
        <v>195.33</v>
      </c>
      <c r="F117" s="22" t="n">
        <v>4</v>
      </c>
    </row>
    <row r="118">
      <c r="A118" s="7" t="inlineStr">
        <is>
          <t>CUST020</t>
        </is>
      </c>
      <c r="B118" s="9" t="inlineStr">
        <is>
          <t>James Taylor</t>
        </is>
      </c>
      <c r="C118" s="7" t="inlineStr">
        <is>
          <t>South</t>
        </is>
      </c>
      <c r="D118" s="11" t="n">
        <v>917.48</v>
      </c>
      <c r="E118" s="11" t="n">
        <v>366.99</v>
      </c>
      <c r="F118" s="22" t="n">
        <v>6</v>
      </c>
    </row>
    <row r="119">
      <c r="A119" s="7" t="inlineStr">
        <is>
          <t>CUST003</t>
        </is>
      </c>
      <c r="B119" s="9" t="inlineStr">
        <is>
          <t>James Wilson</t>
        </is>
      </c>
      <c r="C119" s="7" t="inlineStr">
        <is>
          <t>Central</t>
        </is>
      </c>
      <c r="D119" s="11" t="n">
        <v>902.1900000000001</v>
      </c>
      <c r="E119" s="11" t="n">
        <v>451.1</v>
      </c>
      <c r="F119" s="22" t="n">
        <v>12</v>
      </c>
    </row>
    <row r="120">
      <c r="A120" s="7" t="inlineStr">
        <is>
          <t>CUST001</t>
        </is>
      </c>
      <c r="B120" s="9" t="inlineStr">
        <is>
          <t>Sarah Anderson</t>
        </is>
      </c>
      <c r="C120" s="7" t="inlineStr">
        <is>
          <t>West</t>
        </is>
      </c>
      <c r="D120" s="11" t="n">
        <v>894.55</v>
      </c>
      <c r="E120" s="11" t="n">
        <v>178.91</v>
      </c>
      <c r="F120" s="22" t="n">
        <v>19</v>
      </c>
    </row>
    <row r="121">
      <c r="A121" s="7" t="inlineStr">
        <is>
          <t>CUST011</t>
        </is>
      </c>
      <c r="B121" s="9" t="inlineStr">
        <is>
          <t>Linda Wilson</t>
        </is>
      </c>
      <c r="C121" s="7" t="inlineStr">
        <is>
          <t>North</t>
        </is>
      </c>
      <c r="D121" s="11" t="n">
        <v>884.63</v>
      </c>
      <c r="E121" s="11" t="n">
        <v>318.47</v>
      </c>
      <c r="F121" s="22" t="n">
        <v>18</v>
      </c>
    </row>
    <row r="122">
      <c r="A122" s="7" t="inlineStr">
        <is>
          <t>CUST008</t>
        </is>
      </c>
      <c r="B122" s="9" t="inlineStr">
        <is>
          <t>Robert Anderson</t>
        </is>
      </c>
      <c r="C122" s="7" t="inlineStr">
        <is>
          <t>South</t>
        </is>
      </c>
      <c r="D122" s="11" t="n">
        <v>877.58</v>
      </c>
      <c r="E122" s="11" t="n">
        <v>298.38</v>
      </c>
      <c r="F122" s="22" t="n">
        <v>10</v>
      </c>
    </row>
    <row r="123">
      <c r="A123" s="7" t="inlineStr">
        <is>
          <t>CUST002</t>
        </is>
      </c>
      <c r="B123" s="9" t="inlineStr">
        <is>
          <t>Mary Davis</t>
        </is>
      </c>
      <c r="C123" s="7" t="inlineStr">
        <is>
          <t>South</t>
        </is>
      </c>
      <c r="D123" s="11" t="n">
        <v>876.4400000000001</v>
      </c>
      <c r="E123" s="11" t="n">
        <v>333.05</v>
      </c>
      <c r="F123" s="22" t="n">
        <v>12</v>
      </c>
    </row>
    <row r="124">
      <c r="A124" s="7" t="inlineStr">
        <is>
          <t>CUST027</t>
        </is>
      </c>
      <c r="B124" s="9" t="inlineStr">
        <is>
          <t>Emma Davis</t>
        </is>
      </c>
      <c r="C124" s="7" t="inlineStr">
        <is>
          <t>East</t>
        </is>
      </c>
      <c r="D124" s="11" t="n">
        <v>875.41</v>
      </c>
      <c r="E124" s="11" t="n">
        <v>334.84</v>
      </c>
      <c r="F124" s="22" t="n">
        <v>13</v>
      </c>
    </row>
    <row r="125">
      <c r="A125" s="7" t="inlineStr">
        <is>
          <t>CUST023</t>
        </is>
      </c>
      <c r="B125" s="9" t="inlineStr">
        <is>
          <t>David Brown</t>
        </is>
      </c>
      <c r="C125" s="7" t="inlineStr">
        <is>
          <t>East</t>
        </is>
      </c>
      <c r="D125" s="11" t="n">
        <v>873.7</v>
      </c>
      <c r="E125" s="11" t="n">
        <v>305.8</v>
      </c>
      <c r="F125" s="22" t="n">
        <v>9</v>
      </c>
    </row>
    <row r="126">
      <c r="A126" s="7" t="inlineStr">
        <is>
          <t>CUST016</t>
        </is>
      </c>
      <c r="B126" s="9" t="inlineStr">
        <is>
          <t>James Taylor</t>
        </is>
      </c>
      <c r="C126" s="7" t="inlineStr">
        <is>
          <t>South</t>
        </is>
      </c>
      <c r="D126" s="11" t="n">
        <v>870.23</v>
      </c>
      <c r="E126" s="11" t="n">
        <v>413.36</v>
      </c>
      <c r="F126" s="22" t="n">
        <v>5</v>
      </c>
    </row>
    <row r="127">
      <c r="A127" s="7" t="inlineStr">
        <is>
          <t>CUST029</t>
        </is>
      </c>
      <c r="B127" s="9" t="inlineStr">
        <is>
          <t>David Brown</t>
        </is>
      </c>
      <c r="C127" s="7" t="inlineStr">
        <is>
          <t>West</t>
        </is>
      </c>
      <c r="D127" s="11" t="n">
        <v>864.98</v>
      </c>
      <c r="E127" s="11" t="n">
        <v>410.87</v>
      </c>
      <c r="F127" s="22" t="n">
        <v>2</v>
      </c>
    </row>
    <row r="128">
      <c r="A128" s="7" t="inlineStr">
        <is>
          <t>CUST010</t>
        </is>
      </c>
      <c r="B128" s="9" t="inlineStr">
        <is>
          <t>Linda Wilson</t>
        </is>
      </c>
      <c r="C128" s="7" t="inlineStr">
        <is>
          <t>West</t>
        </is>
      </c>
      <c r="D128" s="11" t="n">
        <v>862.1900000000001</v>
      </c>
      <c r="E128" s="11" t="n">
        <v>286.68</v>
      </c>
      <c r="F128" s="22" t="n">
        <v>18</v>
      </c>
    </row>
    <row r="129">
      <c r="A129" s="7" t="inlineStr">
        <is>
          <t>CUST017</t>
        </is>
      </c>
      <c r="B129" s="9" t="inlineStr">
        <is>
          <t>Linda Davis</t>
        </is>
      </c>
      <c r="C129" s="7" t="inlineStr">
        <is>
          <t>Central</t>
        </is>
      </c>
      <c r="D129" s="11" t="n">
        <v>856.7</v>
      </c>
      <c r="E129" s="11" t="n">
        <v>214.18</v>
      </c>
      <c r="F129" s="22" t="n">
        <v>2</v>
      </c>
    </row>
    <row r="130">
      <c r="A130" s="7" t="inlineStr">
        <is>
          <t>CUST014</t>
        </is>
      </c>
      <c r="B130" s="9" t="inlineStr">
        <is>
          <t>David Anderson</t>
        </is>
      </c>
      <c r="C130" s="7" t="inlineStr">
        <is>
          <t>South</t>
        </is>
      </c>
      <c r="D130" s="11" t="n">
        <v>853.86</v>
      </c>
      <c r="E130" s="11" t="n">
        <v>268.97</v>
      </c>
      <c r="F130" s="22" t="n">
        <v>8</v>
      </c>
    </row>
    <row r="131">
      <c r="A131" s="7" t="inlineStr">
        <is>
          <t>CUST001</t>
        </is>
      </c>
      <c r="B131" s="9" t="inlineStr">
        <is>
          <t>Mary Jackson</t>
        </is>
      </c>
      <c r="C131" s="7" t="inlineStr">
        <is>
          <t>West</t>
        </is>
      </c>
      <c r="D131" s="11" t="n">
        <v>853.72</v>
      </c>
      <c r="E131" s="11" t="n">
        <v>253.98</v>
      </c>
      <c r="F131" s="22" t="n">
        <v>5</v>
      </c>
    </row>
    <row r="132">
      <c r="A132" s="7" t="inlineStr">
        <is>
          <t>CUST030</t>
        </is>
      </c>
      <c r="B132" s="9" t="inlineStr">
        <is>
          <t>James Wilson</t>
        </is>
      </c>
      <c r="C132" s="7" t="inlineStr">
        <is>
          <t>North</t>
        </is>
      </c>
      <c r="D132" s="11" t="n">
        <v>847</v>
      </c>
      <c r="E132" s="11" t="n">
        <v>271.04</v>
      </c>
      <c r="F132" s="22" t="n">
        <v>12</v>
      </c>
    </row>
    <row r="133">
      <c r="A133" s="7" t="inlineStr">
        <is>
          <t>CUST012</t>
        </is>
      </c>
      <c r="B133" s="9" t="inlineStr">
        <is>
          <t>Lisa Thomas</t>
        </is>
      </c>
      <c r="C133" s="7" t="inlineStr">
        <is>
          <t>North</t>
        </is>
      </c>
      <c r="D133" s="11" t="n">
        <v>845.84</v>
      </c>
      <c r="E133" s="11" t="n">
        <v>422.92</v>
      </c>
      <c r="F133" s="22" t="n">
        <v>4</v>
      </c>
    </row>
    <row r="134">
      <c r="A134" s="7" t="inlineStr">
        <is>
          <t>CUST019</t>
        </is>
      </c>
      <c r="B134" s="9" t="inlineStr">
        <is>
          <t>David Brown</t>
        </is>
      </c>
      <c r="C134" s="7" t="inlineStr">
        <is>
          <t>East</t>
        </is>
      </c>
      <c r="D134" s="11" t="n">
        <v>840.92</v>
      </c>
      <c r="E134" s="11" t="n">
        <v>359.49</v>
      </c>
      <c r="F134" s="22" t="n">
        <v>9</v>
      </c>
    </row>
    <row r="135">
      <c r="A135" s="7" t="inlineStr">
        <is>
          <t>CUST021</t>
        </is>
      </c>
      <c r="B135" s="9" t="inlineStr">
        <is>
          <t>James Wilson</t>
        </is>
      </c>
      <c r="C135" s="7" t="inlineStr">
        <is>
          <t>Central</t>
        </is>
      </c>
      <c r="D135" s="11" t="n">
        <v>840.85</v>
      </c>
      <c r="E135" s="11" t="n">
        <v>302.71</v>
      </c>
      <c r="F135" s="22" t="n">
        <v>19</v>
      </c>
    </row>
    <row r="136">
      <c r="A136" s="7" t="inlineStr">
        <is>
          <t>CUST007</t>
        </is>
      </c>
      <c r="B136" s="9" t="inlineStr">
        <is>
          <t>Emma Davis</t>
        </is>
      </c>
      <c r="C136" s="7" t="inlineStr">
        <is>
          <t>North</t>
        </is>
      </c>
      <c r="D136" s="11" t="n">
        <v>833.91</v>
      </c>
      <c r="E136" s="11" t="n">
        <v>356.5</v>
      </c>
      <c r="F136" s="22" t="n">
        <v>3</v>
      </c>
    </row>
    <row r="137">
      <c r="A137" s="7" t="inlineStr">
        <is>
          <t>CUST018</t>
        </is>
      </c>
      <c r="B137" s="9" t="inlineStr">
        <is>
          <t>Mary Davis</t>
        </is>
      </c>
      <c r="C137" s="7" t="inlineStr">
        <is>
          <t>Central</t>
        </is>
      </c>
      <c r="D137" s="11" t="n">
        <v>826.97</v>
      </c>
      <c r="E137" s="11" t="n">
        <v>330.79</v>
      </c>
      <c r="F137" s="22" t="n">
        <v>18</v>
      </c>
    </row>
    <row r="138">
      <c r="A138" s="7" t="inlineStr">
        <is>
          <t>CUST017</t>
        </is>
      </c>
      <c r="B138" s="9" t="inlineStr">
        <is>
          <t>Sarah Davis</t>
        </is>
      </c>
      <c r="C138" s="7" t="inlineStr">
        <is>
          <t>West</t>
        </is>
      </c>
      <c r="D138" s="11" t="n">
        <v>826.9299999999999</v>
      </c>
      <c r="E138" s="11" t="n">
        <v>297.69</v>
      </c>
      <c r="F138" s="22" t="n">
        <v>10</v>
      </c>
    </row>
    <row r="139">
      <c r="A139" s="7" t="inlineStr">
        <is>
          <t>CUST023</t>
        </is>
      </c>
      <c r="B139" s="9" t="inlineStr">
        <is>
          <t>Robert Anderson</t>
        </is>
      </c>
      <c r="C139" s="7" t="inlineStr">
        <is>
          <t>West</t>
        </is>
      </c>
      <c r="D139" s="11" t="n">
        <v>822.28</v>
      </c>
      <c r="E139" s="11" t="n">
        <v>273.41</v>
      </c>
      <c r="F139" s="22" t="n">
        <v>7</v>
      </c>
    </row>
    <row r="140">
      <c r="A140" s="7" t="inlineStr">
        <is>
          <t>CUST015</t>
        </is>
      </c>
      <c r="B140" s="9" t="inlineStr">
        <is>
          <t>David Anderson</t>
        </is>
      </c>
      <c r="C140" s="7" t="inlineStr">
        <is>
          <t>West</t>
        </is>
      </c>
      <c r="D140" s="11" t="n">
        <v>820.1900000000001</v>
      </c>
      <c r="E140" s="11" t="n">
        <v>229.65</v>
      </c>
      <c r="F140" s="22" t="n">
        <v>4</v>
      </c>
    </row>
    <row r="141">
      <c r="A141" s="7" t="inlineStr">
        <is>
          <t>CUST009</t>
        </is>
      </c>
      <c r="B141" s="9" t="inlineStr">
        <is>
          <t>Emma Davis</t>
        </is>
      </c>
      <c r="C141" s="7" t="inlineStr">
        <is>
          <t>North</t>
        </is>
      </c>
      <c r="D141" s="11" t="n">
        <v>818.8</v>
      </c>
      <c r="E141" s="11" t="n">
        <v>173.99</v>
      </c>
      <c r="F141" s="22" t="n">
        <v>15</v>
      </c>
    </row>
    <row r="142">
      <c r="A142" s="7" t="inlineStr">
        <is>
          <t>CUST002</t>
        </is>
      </c>
      <c r="B142" s="9" t="inlineStr">
        <is>
          <t>Emma Wilson</t>
        </is>
      </c>
      <c r="C142" s="7" t="inlineStr">
        <is>
          <t>South</t>
        </is>
      </c>
      <c r="D142" s="11" t="n">
        <v>806.03</v>
      </c>
      <c r="E142" s="11" t="n">
        <v>268</v>
      </c>
      <c r="F142" s="22" t="n">
        <v>19</v>
      </c>
    </row>
    <row r="143">
      <c r="A143" s="7" t="inlineStr">
        <is>
          <t>CUST008</t>
        </is>
      </c>
      <c r="B143" s="9" t="inlineStr">
        <is>
          <t>James Davis</t>
        </is>
      </c>
      <c r="C143" s="7" t="inlineStr">
        <is>
          <t>Central</t>
        </is>
      </c>
      <c r="D143" s="11" t="n">
        <v>804.8099999999999</v>
      </c>
      <c r="E143" s="11" t="n">
        <v>344.06</v>
      </c>
      <c r="F143" s="22" t="n">
        <v>1</v>
      </c>
    </row>
    <row r="144">
      <c r="A144" s="7" t="inlineStr">
        <is>
          <t>CUST012</t>
        </is>
      </c>
      <c r="B144" s="9" t="inlineStr">
        <is>
          <t>David Anderson</t>
        </is>
      </c>
      <c r="C144" s="7" t="inlineStr">
        <is>
          <t>South</t>
        </is>
      </c>
      <c r="D144" s="11" t="n">
        <v>804.45</v>
      </c>
      <c r="E144" s="11" t="n">
        <v>257.42</v>
      </c>
      <c r="F144" s="22" t="n">
        <v>5</v>
      </c>
    </row>
    <row r="145">
      <c r="A145" s="7" t="inlineStr">
        <is>
          <t>CUST028</t>
        </is>
      </c>
      <c r="B145" s="9" t="inlineStr">
        <is>
          <t>James Wilson</t>
        </is>
      </c>
      <c r="C145" s="7" t="inlineStr">
        <is>
          <t>South</t>
        </is>
      </c>
      <c r="D145" s="11" t="n">
        <v>801.21</v>
      </c>
      <c r="E145" s="11" t="n">
        <v>160.24</v>
      </c>
      <c r="F145" s="22" t="n">
        <v>3</v>
      </c>
    </row>
    <row r="146">
      <c r="A146" s="7" t="inlineStr">
        <is>
          <t>CUST028</t>
        </is>
      </c>
      <c r="B146" s="9" t="inlineStr">
        <is>
          <t>Linda Brown</t>
        </is>
      </c>
      <c r="C146" s="7" t="inlineStr">
        <is>
          <t>Central</t>
        </is>
      </c>
      <c r="D146" s="11" t="n">
        <v>790.08</v>
      </c>
      <c r="E146" s="11" t="n">
        <v>177.77</v>
      </c>
      <c r="F146" s="22" t="n">
        <v>7</v>
      </c>
    </row>
    <row r="147">
      <c r="A147" s="7" t="inlineStr">
        <is>
          <t>CUST008</t>
        </is>
      </c>
      <c r="B147" s="9" t="inlineStr">
        <is>
          <t>John Brown</t>
        </is>
      </c>
      <c r="C147" s="7" t="inlineStr">
        <is>
          <t>South</t>
        </is>
      </c>
      <c r="D147" s="11" t="n">
        <v>775.45</v>
      </c>
      <c r="E147" s="11" t="n">
        <v>174.48</v>
      </c>
      <c r="F147" s="22" t="n">
        <v>6</v>
      </c>
    </row>
    <row r="148">
      <c r="A148" s="7" t="inlineStr">
        <is>
          <t>CUST008</t>
        </is>
      </c>
      <c r="B148" s="9" t="inlineStr">
        <is>
          <t>Mary Wilson</t>
        </is>
      </c>
      <c r="C148" s="7" t="inlineStr">
        <is>
          <t>Central</t>
        </is>
      </c>
      <c r="D148" s="11" t="n">
        <v>773.09</v>
      </c>
      <c r="E148" s="11" t="n">
        <v>229.99</v>
      </c>
      <c r="F148" s="22" t="n">
        <v>13</v>
      </c>
    </row>
    <row r="149">
      <c r="A149" s="7" t="inlineStr">
        <is>
          <t>CUST009</t>
        </is>
      </c>
      <c r="B149" s="9" t="inlineStr">
        <is>
          <t>Emma Davis</t>
        </is>
      </c>
      <c r="C149" s="7" t="inlineStr">
        <is>
          <t>South</t>
        </is>
      </c>
      <c r="D149" s="11" t="n">
        <v>771.02</v>
      </c>
      <c r="E149" s="11" t="n">
        <v>192.76</v>
      </c>
      <c r="F149" s="22" t="n">
        <v>1</v>
      </c>
    </row>
    <row r="150">
      <c r="A150" s="7" t="inlineStr">
        <is>
          <t>CUST007</t>
        </is>
      </c>
      <c r="B150" s="9" t="inlineStr">
        <is>
          <t>James Davis</t>
        </is>
      </c>
      <c r="C150" s="7" t="inlineStr">
        <is>
          <t>South</t>
        </is>
      </c>
      <c r="D150" s="11" t="n">
        <v>762.14</v>
      </c>
      <c r="E150" s="11" t="n">
        <v>381.07</v>
      </c>
      <c r="F150" s="22" t="n">
        <v>9</v>
      </c>
    </row>
    <row r="151">
      <c r="A151" s="7" t="inlineStr">
        <is>
          <t>CUST030</t>
        </is>
      </c>
      <c r="B151" s="9" t="inlineStr">
        <is>
          <t>Linda Taylor</t>
        </is>
      </c>
      <c r="C151" s="7" t="inlineStr">
        <is>
          <t>North</t>
        </is>
      </c>
      <c r="D151" s="11" t="n">
        <v>750.71</v>
      </c>
      <c r="E151" s="11" t="n">
        <v>255.24</v>
      </c>
      <c r="F151" s="22" t="n">
        <v>10</v>
      </c>
    </row>
    <row r="152">
      <c r="A152" s="7" t="inlineStr">
        <is>
          <t>CUST019</t>
        </is>
      </c>
      <c r="B152" s="9" t="inlineStr">
        <is>
          <t>Mary Davis</t>
        </is>
      </c>
      <c r="C152" s="7" t="inlineStr">
        <is>
          <t>West</t>
        </is>
      </c>
      <c r="D152" s="11" t="n">
        <v>743.17</v>
      </c>
      <c r="E152" s="11" t="n">
        <v>297.27</v>
      </c>
      <c r="F152" s="22" t="n">
        <v>9</v>
      </c>
    </row>
    <row r="153">
      <c r="A153" s="7" t="inlineStr">
        <is>
          <t>CUST024</t>
        </is>
      </c>
      <c r="B153" s="9" t="inlineStr">
        <is>
          <t>Linda Wilson</t>
        </is>
      </c>
      <c r="C153" s="7" t="inlineStr">
        <is>
          <t>Central</t>
        </is>
      </c>
      <c r="D153" s="11" t="n">
        <v>741.88</v>
      </c>
      <c r="E153" s="11" t="n">
        <v>333.85</v>
      </c>
      <c r="F153" s="22" t="n">
        <v>16</v>
      </c>
    </row>
    <row r="154">
      <c r="A154" s="7" t="inlineStr">
        <is>
          <t>CUST029</t>
        </is>
      </c>
      <c r="B154" s="9" t="inlineStr">
        <is>
          <t>Sarah Davis</t>
        </is>
      </c>
      <c r="C154" s="7" t="inlineStr">
        <is>
          <t>North</t>
        </is>
      </c>
      <c r="D154" s="11" t="n">
        <v>741.61</v>
      </c>
      <c r="E154" s="11" t="n">
        <v>148.32</v>
      </c>
      <c r="F154" s="22" t="n">
        <v>1</v>
      </c>
    </row>
    <row r="155">
      <c r="A155" s="7" t="inlineStr">
        <is>
          <t>CUST028</t>
        </is>
      </c>
      <c r="B155" s="9" t="inlineStr">
        <is>
          <t>Robert Anderson</t>
        </is>
      </c>
      <c r="C155" s="7" t="inlineStr">
        <is>
          <t>South</t>
        </is>
      </c>
      <c r="D155" s="11" t="n">
        <v>740.8</v>
      </c>
      <c r="E155" s="11" t="n">
        <v>333.36</v>
      </c>
      <c r="F155" s="22" t="n">
        <v>3</v>
      </c>
    </row>
    <row r="156">
      <c r="A156" s="7" t="inlineStr">
        <is>
          <t>CUST010</t>
        </is>
      </c>
      <c r="B156" s="9" t="inlineStr">
        <is>
          <t>David Thomas</t>
        </is>
      </c>
      <c r="C156" s="7" t="inlineStr">
        <is>
          <t>Central</t>
        </is>
      </c>
      <c r="D156" s="11" t="n">
        <v>737.3099999999999</v>
      </c>
      <c r="E156" s="11" t="n">
        <v>350.22</v>
      </c>
      <c r="F156" s="22" t="n">
        <v>2</v>
      </c>
    </row>
    <row r="157">
      <c r="A157" s="7" t="inlineStr">
        <is>
          <t>CUST025</t>
        </is>
      </c>
      <c r="B157" s="9" t="inlineStr">
        <is>
          <t>Emma Taylor</t>
        </is>
      </c>
      <c r="C157" s="7" t="inlineStr">
        <is>
          <t>Central</t>
        </is>
      </c>
      <c r="D157" s="11" t="n">
        <v>728.71</v>
      </c>
      <c r="E157" s="11" t="n">
        <v>327.92</v>
      </c>
      <c r="F157" s="22" t="n">
        <v>14</v>
      </c>
    </row>
    <row r="158">
      <c r="A158" s="7" t="inlineStr">
        <is>
          <t>CUST013</t>
        </is>
      </c>
      <c r="B158" s="9" t="inlineStr">
        <is>
          <t>Robert Anderson</t>
        </is>
      </c>
      <c r="C158" s="7" t="inlineStr">
        <is>
          <t>South</t>
        </is>
      </c>
      <c r="D158" s="11" t="n">
        <v>727.73</v>
      </c>
      <c r="E158" s="11" t="n">
        <v>229.23</v>
      </c>
      <c r="F158" s="22" t="n">
        <v>1</v>
      </c>
    </row>
    <row r="159">
      <c r="A159" s="7" t="inlineStr">
        <is>
          <t>CUST019</t>
        </is>
      </c>
      <c r="B159" s="9" t="inlineStr">
        <is>
          <t>James Taylor</t>
        </is>
      </c>
      <c r="C159" s="7" t="inlineStr">
        <is>
          <t>South</t>
        </is>
      </c>
      <c r="D159" s="11" t="n">
        <v>718.04</v>
      </c>
      <c r="E159" s="11" t="n">
        <v>179.51</v>
      </c>
      <c r="F159" s="22" t="n">
        <v>14</v>
      </c>
    </row>
    <row r="160">
      <c r="A160" s="7" t="inlineStr">
        <is>
          <t>CUST017</t>
        </is>
      </c>
      <c r="B160" s="9" t="inlineStr">
        <is>
          <t>James Taylor</t>
        </is>
      </c>
      <c r="C160" s="7" t="inlineStr">
        <is>
          <t>East</t>
        </is>
      </c>
      <c r="D160" s="11" t="n">
        <v>713.34</v>
      </c>
      <c r="E160" s="11" t="n">
        <v>285.34</v>
      </c>
      <c r="F160" s="22" t="n">
        <v>17</v>
      </c>
    </row>
    <row r="161">
      <c r="A161" s="7" t="inlineStr">
        <is>
          <t>CUST028</t>
        </is>
      </c>
      <c r="B161" s="9" t="inlineStr">
        <is>
          <t>Sarah Davis</t>
        </is>
      </c>
      <c r="C161" s="7" t="inlineStr">
        <is>
          <t>North</t>
        </is>
      </c>
      <c r="D161" s="11" t="n">
        <v>710.52</v>
      </c>
      <c r="E161" s="11" t="n">
        <v>255.79</v>
      </c>
      <c r="F161" s="22" t="n">
        <v>8</v>
      </c>
    </row>
    <row r="162">
      <c r="A162" s="7" t="inlineStr">
        <is>
          <t>CUST024</t>
        </is>
      </c>
      <c r="B162" s="9" t="inlineStr">
        <is>
          <t>James Wilson</t>
        </is>
      </c>
      <c r="C162" s="7" t="inlineStr">
        <is>
          <t>North</t>
        </is>
      </c>
      <c r="D162" s="11" t="n">
        <v>706.73</v>
      </c>
      <c r="E162" s="11" t="n">
        <v>150.18</v>
      </c>
      <c r="F162" s="22" t="n">
        <v>1</v>
      </c>
    </row>
    <row r="163">
      <c r="A163" s="7" t="inlineStr">
        <is>
          <t>CUST023</t>
        </is>
      </c>
      <c r="B163" s="9" t="inlineStr">
        <is>
          <t>Mary Davis</t>
        </is>
      </c>
      <c r="C163" s="7" t="inlineStr">
        <is>
          <t>Central</t>
        </is>
      </c>
      <c r="D163" s="11" t="n">
        <v>706.37</v>
      </c>
      <c r="E163" s="11" t="n">
        <v>176.59</v>
      </c>
      <c r="F163" s="22" t="n">
        <v>6</v>
      </c>
    </row>
    <row r="164">
      <c r="A164" s="7" t="inlineStr">
        <is>
          <t>CUST003</t>
        </is>
      </c>
      <c r="B164" s="9" t="inlineStr">
        <is>
          <t>Sarah Anderson</t>
        </is>
      </c>
      <c r="C164" s="7" t="inlineStr">
        <is>
          <t>South</t>
        </is>
      </c>
      <c r="D164" s="11" t="n">
        <v>704.28</v>
      </c>
      <c r="E164" s="11" t="n">
        <v>225.37</v>
      </c>
      <c r="F164" s="22" t="n">
        <v>15</v>
      </c>
    </row>
    <row r="165">
      <c r="A165" s="7" t="inlineStr">
        <is>
          <t>CUST009</t>
        </is>
      </c>
      <c r="B165" s="9" t="inlineStr">
        <is>
          <t>Linda Taylor</t>
        </is>
      </c>
      <c r="C165" s="7" t="inlineStr">
        <is>
          <t>South</t>
        </is>
      </c>
      <c r="D165" s="11" t="n">
        <v>689.4299999999999</v>
      </c>
      <c r="E165" s="11" t="n">
        <v>310.24</v>
      </c>
      <c r="F165" s="22" t="n">
        <v>9</v>
      </c>
    </row>
    <row r="166">
      <c r="A166" s="7" t="inlineStr">
        <is>
          <t>CUST012</t>
        </is>
      </c>
      <c r="B166" s="9" t="inlineStr">
        <is>
          <t>David Brown</t>
        </is>
      </c>
      <c r="C166" s="7" t="inlineStr">
        <is>
          <t>West</t>
        </is>
      </c>
      <c r="D166" s="11" t="n">
        <v>688.83</v>
      </c>
      <c r="E166" s="11" t="n">
        <v>172.21</v>
      </c>
      <c r="F166" s="22" t="n">
        <v>15</v>
      </c>
    </row>
    <row r="167">
      <c r="A167" s="7" t="inlineStr">
        <is>
          <t>CUST023</t>
        </is>
      </c>
      <c r="B167" s="9" t="inlineStr">
        <is>
          <t>Mary Wilson</t>
        </is>
      </c>
      <c r="C167" s="7" t="inlineStr">
        <is>
          <t>South</t>
        </is>
      </c>
      <c r="D167" s="11" t="n">
        <v>682.24</v>
      </c>
      <c r="E167" s="11" t="n">
        <v>341.12</v>
      </c>
      <c r="F167" s="22" t="n">
        <v>1</v>
      </c>
    </row>
    <row r="168">
      <c r="A168" s="7" t="inlineStr">
        <is>
          <t>CUST007</t>
        </is>
      </c>
      <c r="B168" s="9" t="inlineStr">
        <is>
          <t>David Brown</t>
        </is>
      </c>
      <c r="C168" s="7" t="inlineStr">
        <is>
          <t>North</t>
        </is>
      </c>
      <c r="D168" s="11" t="n">
        <v>679.71</v>
      </c>
      <c r="E168" s="11" t="n">
        <v>271.88</v>
      </c>
      <c r="F168" s="22" t="n">
        <v>19</v>
      </c>
    </row>
    <row r="169">
      <c r="A169" s="7" t="inlineStr">
        <is>
          <t>CUST030</t>
        </is>
      </c>
      <c r="B169" s="9" t="inlineStr">
        <is>
          <t>John Brown</t>
        </is>
      </c>
      <c r="C169" s="7" t="inlineStr">
        <is>
          <t>North</t>
        </is>
      </c>
      <c r="D169" s="11" t="n">
        <v>675.54</v>
      </c>
      <c r="E169" s="11" t="n">
        <v>236.44</v>
      </c>
      <c r="F169" s="22" t="n">
        <v>17</v>
      </c>
    </row>
    <row r="170">
      <c r="A170" s="7" t="inlineStr">
        <is>
          <t>CUST011</t>
        </is>
      </c>
      <c r="B170" s="9" t="inlineStr">
        <is>
          <t>Linda Moore</t>
        </is>
      </c>
      <c r="C170" s="7" t="inlineStr">
        <is>
          <t>Central</t>
        </is>
      </c>
      <c r="D170" s="11" t="n">
        <v>662.61</v>
      </c>
      <c r="E170" s="11" t="n">
        <v>314.74</v>
      </c>
      <c r="F170" s="22" t="n">
        <v>11</v>
      </c>
    </row>
    <row r="171">
      <c r="A171" s="7" t="inlineStr">
        <is>
          <t>CUST003</t>
        </is>
      </c>
      <c r="B171" s="9" t="inlineStr">
        <is>
          <t>Linda Moore</t>
        </is>
      </c>
      <c r="C171" s="7" t="inlineStr">
        <is>
          <t>North</t>
        </is>
      </c>
      <c r="D171" s="11" t="n">
        <v>661.09</v>
      </c>
      <c r="E171" s="11" t="n">
        <v>264.44</v>
      </c>
      <c r="F171" s="22" t="n">
        <v>1</v>
      </c>
    </row>
    <row r="172">
      <c r="A172" s="7" t="inlineStr">
        <is>
          <t>CUST026</t>
        </is>
      </c>
      <c r="B172" s="9" t="inlineStr">
        <is>
          <t>Mary Davis</t>
        </is>
      </c>
      <c r="C172" s="7" t="inlineStr">
        <is>
          <t>Central</t>
        </is>
      </c>
      <c r="D172" s="11" t="n">
        <v>645.02</v>
      </c>
      <c r="E172" s="11" t="n">
        <v>161.26</v>
      </c>
      <c r="F172" s="22" t="n">
        <v>4</v>
      </c>
    </row>
    <row r="173">
      <c r="A173" s="7" t="inlineStr">
        <is>
          <t>CUST018</t>
        </is>
      </c>
      <c r="B173" s="9" t="inlineStr">
        <is>
          <t>Lisa Davis</t>
        </is>
      </c>
      <c r="C173" s="7" t="inlineStr">
        <is>
          <t>North</t>
        </is>
      </c>
      <c r="D173" s="11" t="n">
        <v>640.64</v>
      </c>
      <c r="E173" s="11" t="n">
        <v>205</v>
      </c>
      <c r="F173" s="22" t="n">
        <v>11</v>
      </c>
    </row>
    <row r="174">
      <c r="A174" s="7" t="inlineStr">
        <is>
          <t>CUST001</t>
        </is>
      </c>
      <c r="B174" s="9" t="inlineStr">
        <is>
          <t>Lisa Thomas</t>
        </is>
      </c>
      <c r="C174" s="7" t="inlineStr">
        <is>
          <t>West</t>
        </is>
      </c>
      <c r="D174" s="11" t="n">
        <v>636.7</v>
      </c>
      <c r="E174" s="11" t="n">
        <v>203.74</v>
      </c>
      <c r="F174" s="22" t="n">
        <v>4</v>
      </c>
    </row>
    <row r="175">
      <c r="A175" s="7" t="inlineStr">
        <is>
          <t>CUST030</t>
        </is>
      </c>
      <c r="B175" s="9" t="inlineStr">
        <is>
          <t>David Brown</t>
        </is>
      </c>
      <c r="C175" s="7" t="inlineStr">
        <is>
          <t>Central</t>
        </is>
      </c>
      <c r="D175" s="11" t="n">
        <v>608.66</v>
      </c>
      <c r="E175" s="11" t="n">
        <v>144.56</v>
      </c>
      <c r="F175" s="22" t="n">
        <v>1</v>
      </c>
    </row>
    <row r="176">
      <c r="A176" s="7" t="inlineStr">
        <is>
          <t>CUST027</t>
        </is>
      </c>
      <c r="B176" s="9" t="inlineStr">
        <is>
          <t>Emma Davis</t>
        </is>
      </c>
      <c r="C176" s="7" t="inlineStr">
        <is>
          <t>North</t>
        </is>
      </c>
      <c r="D176" s="11" t="n">
        <v>585.97</v>
      </c>
      <c r="E176" s="11" t="n">
        <v>210.95</v>
      </c>
      <c r="F176" s="22" t="n">
        <v>17</v>
      </c>
    </row>
    <row r="177">
      <c r="A177" s="7" t="inlineStr">
        <is>
          <t>CUST030</t>
        </is>
      </c>
      <c r="B177" s="9" t="inlineStr">
        <is>
          <t>Sarah Anderson</t>
        </is>
      </c>
      <c r="C177" s="7" t="inlineStr">
        <is>
          <t>West</t>
        </is>
      </c>
      <c r="D177" s="11" t="n">
        <v>585.16</v>
      </c>
      <c r="E177" s="11" t="n">
        <v>263.32</v>
      </c>
      <c r="F177" s="22" t="n">
        <v>17</v>
      </c>
    </row>
    <row r="178">
      <c r="A178" s="7" t="inlineStr">
        <is>
          <t>CUST016</t>
        </is>
      </c>
      <c r="B178" s="9" t="inlineStr">
        <is>
          <t>Emma Wilson</t>
        </is>
      </c>
      <c r="C178" s="7" t="inlineStr">
        <is>
          <t>East</t>
        </is>
      </c>
      <c r="D178" s="11" t="n">
        <v>580.4299999999999</v>
      </c>
      <c r="E178" s="11" t="n">
        <v>197.35</v>
      </c>
      <c r="F178" s="22" t="n">
        <v>19</v>
      </c>
    </row>
    <row r="179">
      <c r="A179" s="7" t="inlineStr">
        <is>
          <t>CUST004</t>
        </is>
      </c>
      <c r="B179" s="9" t="inlineStr">
        <is>
          <t>Mary Davis</t>
        </is>
      </c>
      <c r="C179" s="7" t="inlineStr">
        <is>
          <t>South</t>
        </is>
      </c>
      <c r="D179" s="11" t="n">
        <v>573.3200000000001</v>
      </c>
      <c r="E179" s="11" t="n">
        <v>232.19</v>
      </c>
      <c r="F179" s="22" t="n">
        <v>19</v>
      </c>
    </row>
    <row r="180">
      <c r="A180" s="7" t="inlineStr">
        <is>
          <t>CUST023</t>
        </is>
      </c>
      <c r="B180" s="9" t="inlineStr">
        <is>
          <t>David Davis</t>
        </is>
      </c>
      <c r="C180" s="7" t="inlineStr">
        <is>
          <t>East</t>
        </is>
      </c>
      <c r="D180" s="11" t="n">
        <v>556.42</v>
      </c>
      <c r="E180" s="11" t="n">
        <v>212.83</v>
      </c>
      <c r="F180" s="22" t="n">
        <v>11</v>
      </c>
    </row>
    <row r="181">
      <c r="A181" s="7" t="inlineStr">
        <is>
          <t>CUST015</t>
        </is>
      </c>
      <c r="B181" s="9" t="inlineStr">
        <is>
          <t>Sarah Anderson</t>
        </is>
      </c>
      <c r="C181" s="7" t="inlineStr">
        <is>
          <t>West</t>
        </is>
      </c>
      <c r="D181" s="11" t="n">
        <v>545.4400000000001</v>
      </c>
      <c r="E181" s="11" t="n">
        <v>245.45</v>
      </c>
      <c r="F181" s="22" t="n">
        <v>17</v>
      </c>
    </row>
    <row r="182">
      <c r="A182" s="7" t="inlineStr">
        <is>
          <t>CUST024</t>
        </is>
      </c>
      <c r="B182" s="9" t="inlineStr">
        <is>
          <t>David Brown</t>
        </is>
      </c>
      <c r="C182" s="7" t="inlineStr">
        <is>
          <t>East</t>
        </is>
      </c>
      <c r="D182" s="11" t="n">
        <v>539.77</v>
      </c>
      <c r="E182" s="11" t="n">
        <v>114.7</v>
      </c>
      <c r="F182" s="22" t="n">
        <v>10</v>
      </c>
    </row>
    <row r="183">
      <c r="A183" s="7" t="inlineStr">
        <is>
          <t>CUST029</t>
        </is>
      </c>
      <c r="B183" s="9" t="inlineStr">
        <is>
          <t>David Smith</t>
        </is>
      </c>
      <c r="C183" s="7" t="inlineStr">
        <is>
          <t>North</t>
        </is>
      </c>
      <c r="D183" s="11" t="n">
        <v>521.67</v>
      </c>
      <c r="E183" s="11" t="n">
        <v>155.2</v>
      </c>
      <c r="F183" s="22" t="n">
        <v>15</v>
      </c>
    </row>
    <row r="184">
      <c r="A184" s="7" t="inlineStr">
        <is>
          <t>CUST004</t>
        </is>
      </c>
      <c r="B184" s="9" t="inlineStr">
        <is>
          <t>Lisa Thomas</t>
        </is>
      </c>
      <c r="C184" s="7" t="inlineStr">
        <is>
          <t>North</t>
        </is>
      </c>
      <c r="D184" s="11" t="n">
        <v>518.0700000000001</v>
      </c>
      <c r="E184" s="11" t="n">
        <v>172.26</v>
      </c>
      <c r="F184" s="22" t="n">
        <v>7</v>
      </c>
    </row>
    <row r="185">
      <c r="A185" s="7" t="inlineStr">
        <is>
          <t>CUST015</t>
        </is>
      </c>
      <c r="B185" s="9" t="inlineStr">
        <is>
          <t>Emma Davis</t>
        </is>
      </c>
      <c r="C185" s="7" t="inlineStr">
        <is>
          <t>Central</t>
        </is>
      </c>
      <c r="D185" s="11" t="n">
        <v>511.74</v>
      </c>
      <c r="E185" s="11" t="n">
        <v>121.54</v>
      </c>
      <c r="F185" s="22" t="n">
        <v>8</v>
      </c>
    </row>
    <row r="186">
      <c r="A186" s="7" t="inlineStr">
        <is>
          <t>CUST009</t>
        </is>
      </c>
      <c r="B186" s="9" t="inlineStr">
        <is>
          <t>Linda Jackson</t>
        </is>
      </c>
      <c r="C186" s="7" t="inlineStr">
        <is>
          <t>Central</t>
        </is>
      </c>
      <c r="D186" s="11" t="n">
        <v>501.54</v>
      </c>
      <c r="E186" s="11" t="n">
        <v>190.59</v>
      </c>
      <c r="F186" s="22" t="n">
        <v>11</v>
      </c>
    </row>
    <row r="187">
      <c r="A187" s="7" t="inlineStr">
        <is>
          <t>CUST028</t>
        </is>
      </c>
      <c r="B187" s="9" t="inlineStr">
        <is>
          <t>Mary Wilson</t>
        </is>
      </c>
      <c r="C187" s="7" t="inlineStr">
        <is>
          <t>North</t>
        </is>
      </c>
      <c r="D187" s="11" t="n">
        <v>499.18</v>
      </c>
      <c r="E187" s="11" t="n">
        <v>159.74</v>
      </c>
      <c r="F187" s="22" t="n">
        <v>15</v>
      </c>
    </row>
    <row r="188">
      <c r="A188" s="7" t="inlineStr">
        <is>
          <t>CUST010</t>
        </is>
      </c>
      <c r="B188" s="9" t="inlineStr">
        <is>
          <t>David Brown</t>
        </is>
      </c>
      <c r="C188" s="7" t="inlineStr">
        <is>
          <t>Central</t>
        </is>
      </c>
      <c r="D188" s="11" t="n">
        <v>488.99</v>
      </c>
      <c r="E188" s="11" t="n">
        <v>220.05</v>
      </c>
      <c r="F188" s="22" t="n">
        <v>9</v>
      </c>
    </row>
    <row r="189">
      <c r="A189" s="7" t="inlineStr">
        <is>
          <t>CUST012</t>
        </is>
      </c>
      <c r="B189" s="9" t="inlineStr">
        <is>
          <t>Michael Anderson</t>
        </is>
      </c>
      <c r="C189" s="7" t="inlineStr">
        <is>
          <t>West</t>
        </is>
      </c>
      <c r="D189" s="11" t="n">
        <v>472.38</v>
      </c>
      <c r="E189" s="11" t="n">
        <v>151.16</v>
      </c>
      <c r="F189" s="22" t="n">
        <v>12</v>
      </c>
    </row>
    <row r="190">
      <c r="A190" s="7" t="inlineStr">
        <is>
          <t>CUST029</t>
        </is>
      </c>
      <c r="B190" s="9" t="inlineStr">
        <is>
          <t>Michael Anderson</t>
        </is>
      </c>
      <c r="C190" s="7" t="inlineStr">
        <is>
          <t>North</t>
        </is>
      </c>
      <c r="D190" s="11" t="n">
        <v>458.54</v>
      </c>
      <c r="E190" s="11" t="n">
        <v>91.70999999999999</v>
      </c>
      <c r="F190" s="22" t="n">
        <v>15</v>
      </c>
    </row>
    <row r="191">
      <c r="A191" s="7" t="inlineStr">
        <is>
          <t>CUST003</t>
        </is>
      </c>
      <c r="B191" s="9" t="inlineStr">
        <is>
          <t>Emma Davis</t>
        </is>
      </c>
      <c r="C191" s="7" t="inlineStr">
        <is>
          <t>East</t>
        </is>
      </c>
      <c r="D191" s="11" t="n">
        <v>438.76</v>
      </c>
      <c r="E191" s="11" t="n">
        <v>187.57</v>
      </c>
      <c r="F191" s="22" t="n">
        <v>18</v>
      </c>
    </row>
    <row r="192">
      <c r="A192" s="7" t="inlineStr">
        <is>
          <t>CUST022</t>
        </is>
      </c>
      <c r="B192" s="9" t="inlineStr">
        <is>
          <t>Robert Anderson</t>
        </is>
      </c>
      <c r="C192" s="7" t="inlineStr">
        <is>
          <t>North</t>
        </is>
      </c>
      <c r="D192" s="11" t="n">
        <v>388.56</v>
      </c>
      <c r="E192" s="11" t="n">
        <v>82.56999999999999</v>
      </c>
      <c r="F192" s="22" t="n">
        <v>14</v>
      </c>
    </row>
    <row r="193">
      <c r="A193" s="7" t="inlineStr">
        <is>
          <t>CUST022</t>
        </is>
      </c>
      <c r="B193" s="9" t="inlineStr">
        <is>
          <t>Lisa Thomas</t>
        </is>
      </c>
      <c r="C193" s="7" t="inlineStr">
        <is>
          <t>Central</t>
        </is>
      </c>
      <c r="D193" s="11" t="n">
        <v>388.23</v>
      </c>
      <c r="E193" s="11" t="n">
        <v>165.97</v>
      </c>
      <c r="F193" s="22" t="n">
        <v>16</v>
      </c>
    </row>
    <row r="194">
      <c r="A194" s="7" t="inlineStr">
        <is>
          <t>CUST001</t>
        </is>
      </c>
      <c r="B194" s="9" t="inlineStr">
        <is>
          <t>David Anderson</t>
        </is>
      </c>
      <c r="C194" s="7" t="inlineStr">
        <is>
          <t>North</t>
        </is>
      </c>
      <c r="D194" s="11" t="n">
        <v>336.66</v>
      </c>
      <c r="E194" s="11" t="n">
        <v>134.66</v>
      </c>
      <c r="F194" s="22" t="n">
        <v>13</v>
      </c>
    </row>
    <row r="195">
      <c r="A195" s="7" t="inlineStr">
        <is>
          <t>CUST028</t>
        </is>
      </c>
      <c r="B195" s="9" t="inlineStr">
        <is>
          <t>Lisa Davis</t>
        </is>
      </c>
      <c r="C195" s="7" t="inlineStr">
        <is>
          <t>North</t>
        </is>
      </c>
      <c r="D195" s="11" t="n">
        <v>309.42</v>
      </c>
      <c r="E195" s="11" t="n">
        <v>111.39</v>
      </c>
      <c r="F195" s="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s="13" t="inlineStr">
        <is>
          <t>Task 8: Pivot Table (Sales by Region &amp; Product Category)</t>
        </is>
      </c>
    </row>
    <row r="2"/>
    <row r="3">
      <c r="A3" s="6" t="inlineStr">
        <is>
          <t>Region</t>
        </is>
      </c>
      <c r="B3" s="19" t="inlineStr">
        <is>
          <t>Books</t>
        </is>
      </c>
      <c r="C3" s="19" t="inlineStr">
        <is>
          <t>Clothing</t>
        </is>
      </c>
      <c r="D3" s="19" t="inlineStr">
        <is>
          <t>Electronics</t>
        </is>
      </c>
      <c r="E3" s="19" t="inlineStr">
        <is>
          <t>Furniture</t>
        </is>
      </c>
      <c r="F3" s="19" t="inlineStr">
        <is>
          <t>Office Supplies</t>
        </is>
      </c>
      <c r="G3" s="6" t="inlineStr">
        <is>
          <t>Grand Total</t>
        </is>
      </c>
    </row>
    <row r="4">
      <c r="A4" s="8" t="inlineStr">
        <is>
          <t>Central</t>
        </is>
      </c>
      <c r="B4" s="11" t="n">
        <v>11297.15</v>
      </c>
      <c r="C4" s="11" t="n">
        <v>12200.26</v>
      </c>
      <c r="D4" s="11" t="n">
        <v>6621.24</v>
      </c>
      <c r="E4" s="11" t="n">
        <v>4876.96</v>
      </c>
      <c r="F4" s="11" t="n">
        <v>8472.719999999999</v>
      </c>
      <c r="G4" s="23">
        <f>SUM(B4:F4)</f>
        <v/>
      </c>
    </row>
    <row r="5">
      <c r="A5" s="8" t="inlineStr">
        <is>
          <t>East</t>
        </is>
      </c>
      <c r="B5" s="11" t="n">
        <v>11389.09</v>
      </c>
      <c r="C5" s="11" t="n">
        <v>2401.45</v>
      </c>
      <c r="D5" s="11" t="n">
        <v>2869.54</v>
      </c>
      <c r="E5" s="11" t="n">
        <v>7592.34</v>
      </c>
      <c r="F5" s="11" t="n">
        <v>8189.219999999999</v>
      </c>
      <c r="G5" s="23">
        <f>SUM(B5:F5)</f>
        <v/>
      </c>
    </row>
    <row r="6">
      <c r="A6" s="8" t="inlineStr">
        <is>
          <t>North</t>
        </is>
      </c>
      <c r="B6" s="11" t="n">
        <v>8037.01</v>
      </c>
      <c r="C6" s="11" t="n">
        <v>8422.82</v>
      </c>
      <c r="D6" s="11" t="n">
        <v>8191.71</v>
      </c>
      <c r="E6" s="11" t="n">
        <v>6978.08</v>
      </c>
      <c r="F6" s="11" t="n">
        <v>3345.8</v>
      </c>
      <c r="G6" s="23">
        <f>SUM(B6:F6)</f>
        <v/>
      </c>
    </row>
    <row r="7">
      <c r="A7" s="8" t="inlineStr">
        <is>
          <t>South</t>
        </is>
      </c>
      <c r="B7" s="11" t="n">
        <v>9588.040000000001</v>
      </c>
      <c r="C7" s="11" t="n">
        <v>8393.629999999999</v>
      </c>
      <c r="D7" s="11" t="n">
        <v>11989.07</v>
      </c>
      <c r="E7" s="11" t="n">
        <v>7982.73</v>
      </c>
      <c r="F7" s="11" t="n">
        <v>2295.32</v>
      </c>
      <c r="G7" s="23">
        <f>SUM(B7:F7)</f>
        <v/>
      </c>
    </row>
    <row r="8">
      <c r="A8" s="8" t="inlineStr">
        <is>
          <t>West</t>
        </is>
      </c>
      <c r="B8" s="11" t="n">
        <v>6691.17</v>
      </c>
      <c r="C8" s="11" t="n">
        <v>10509.43</v>
      </c>
      <c r="D8" s="11" t="n">
        <v>11372.44</v>
      </c>
      <c r="E8" s="11" t="n">
        <v>9182.780000000001</v>
      </c>
      <c r="F8" s="11" t="n">
        <v>6327.76</v>
      </c>
      <c r="G8" s="23">
        <f>SUM(B8:F8)</f>
        <v/>
      </c>
    </row>
    <row r="9">
      <c r="A9" s="8" t="inlineStr">
        <is>
          <t>Grand Total</t>
        </is>
      </c>
      <c r="B9" s="23">
        <f>SUM(B4:B8)</f>
        <v/>
      </c>
      <c r="C9" s="23">
        <f>SUM(C4:C8)</f>
        <v/>
      </c>
      <c r="D9" s="23">
        <f>SUM(D4:D8)</f>
        <v/>
      </c>
      <c r="E9" s="23">
        <f>SUM(E4:E8)</f>
        <v/>
      </c>
      <c r="F9" s="23">
        <f>SUM(F4:F8)</f>
        <v/>
      </c>
      <c r="G9" s="23">
        <f>SUM(G4:G8)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2026-10-14T05:28:08Z</dcterms:created>
  <dcterms:modified xmlns:dcterms="http://purl.org/dc/terms/" xmlns:xsi="http://www.w3.org/2001/XMLSchema-instance" xsi:type="dcterms:W3CDTF">2026-10-14T05:28:08Z</dcterms:modified>
</cp:coreProperties>
</file>